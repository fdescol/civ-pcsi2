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oscope" sheetId="1" r:id="rId5"/>
    <sheet state="visible" name="Feuille 20" sheetId="2" r:id="rId6"/>
    <sheet state="visible" name="Étudiants V2" sheetId="3" r:id="rId7"/>
    <sheet state="hidden" name="Étudiants" sheetId="4" r:id="rId8"/>
    <sheet state="hidden" name="Colleurs" sheetId="5" r:id="rId9"/>
    <sheet state="visible" name="Colleurs V2" sheetId="6" r:id="rId10"/>
    <sheet state="hidden" name="Trinômes" sheetId="7" r:id="rId11"/>
    <sheet state="hidden" name="LV2" sheetId="8" r:id="rId12"/>
    <sheet state="hidden" name="Semaines" sheetId="9" r:id="rId13"/>
    <sheet state="hidden" name="TPTD" sheetId="10" r:id="rId14"/>
    <sheet state="hidden" name="Colles" sheetId="11" r:id="rId15"/>
    <sheet state="hidden" name="Créneaux" sheetId="12" r:id="rId16"/>
  </sheets>
  <definedNames>
    <definedName name="Matières">'Créneaux'!$I$2:$I$39</definedName>
    <definedName name="CréneauxM">'Créneaux'!$J$2:$N$9</definedName>
    <definedName name="Matière">'Créneaux'!$A$2:$A$39</definedName>
    <definedName name="CollesP">Colles!$B$34:$S$49</definedName>
    <definedName name="CréneauxP">'Créneaux'!$J$18:$N$25</definedName>
    <definedName name="TPInfo">TPTD!$A$10:$R$12</definedName>
    <definedName name="CollesA">Colles!$B$18:$S$33</definedName>
    <definedName name="Semaines">TPTD!$A$1:$R$1</definedName>
    <definedName name="Colleurs">'Créneaux'!$B$2:$B$39</definedName>
    <definedName name="CréneauxS">'Créneaux'!$J$34:$N$37</definedName>
    <definedName name="CollesF">Colles!$B$82:$S$97</definedName>
    <definedName name="CréneauxF">'Créneaux'!$J$38:$N$39</definedName>
    <definedName name="DatesSemaines">Semaines!$A$1:$C$16</definedName>
    <definedName name="CollesM">Colles!$B$2:$S$17</definedName>
    <definedName name="TPSI">TPTD!$A$6:$R$8</definedName>
    <definedName name="TPPhysique">TPTD!$A$3:$R$4</definedName>
    <definedName name="CollesS">Colles!$B$66:$S$81</definedName>
    <definedName name="TDChimie">TPTD!$A$14:$R$15</definedName>
    <definedName name="CréneauxA">'Créneaux'!$J$10:$N$17</definedName>
    <definedName name="CréneauxC">'Créneaux'!$J$26:$N$33</definedName>
    <definedName name="Groupes">'Trinômes'!$F$2:$H$17</definedName>
    <definedName name="LV2Jours">'LV2'!$A$2:$B$4</definedName>
    <definedName name="Étudiants">'Trinômes'!$A$2:$D$48</definedName>
    <definedName name="CollesC">Colles!$B$50:$S$65</definedName>
  </definedNames>
  <calcPr/>
</workbook>
</file>

<file path=xl/sharedStrings.xml><?xml version="1.0" encoding="utf-8"?>
<sst xmlns="http://schemas.openxmlformats.org/spreadsheetml/2006/main" count="350" uniqueCount="159">
  <si>
    <t>Informations</t>
  </si>
  <si>
    <t>Semaine A ou B :</t>
  </si>
  <si>
    <t>Étudiant :</t>
  </si>
  <si>
    <t>DESCOLLONGES Eric</t>
  </si>
  <si>
    <t>Trinôme :</t>
  </si>
  <si>
    <t>CHABBERT Elio</t>
  </si>
  <si>
    <t>Lundi</t>
  </si>
  <si>
    <t>Semaine :</t>
  </si>
  <si>
    <t>Groupe G :</t>
  </si>
  <si>
    <t>G1</t>
  </si>
  <si>
    <t>Groupe C :</t>
  </si>
  <si>
    <t>C1</t>
  </si>
  <si>
    <t>TD</t>
  </si>
  <si>
    <t>Créneau</t>
  </si>
  <si>
    <t>Groupe</t>
  </si>
  <si>
    <t>Semaine</t>
  </si>
  <si>
    <t>Cours</t>
  </si>
  <si>
    <t>Matière :</t>
  </si>
  <si>
    <t>TD Maths</t>
  </si>
  <si>
    <t>Colles</t>
  </si>
  <si>
    <t>Lundi 11h</t>
  </si>
  <si>
    <t>G2</t>
  </si>
  <si>
    <t>SI</t>
  </si>
  <si>
    <t>Matière</t>
  </si>
  <si>
    <t>Jour</t>
  </si>
  <si>
    <t>Horaire</t>
  </si>
  <si>
    <t>Mathématiques</t>
  </si>
  <si>
    <t>Colleur</t>
  </si>
  <si>
    <t xml:space="preserve">Salle </t>
  </si>
  <si>
    <t>Colleur :</t>
  </si>
  <si>
    <t>Lundi 12h</t>
  </si>
  <si>
    <t>TP1</t>
  </si>
  <si>
    <t>Mardi</t>
  </si>
  <si>
    <t>M. Villéger</t>
  </si>
  <si>
    <t>Heure</t>
  </si>
  <si>
    <t>Salle</t>
  </si>
  <si>
    <t xml:space="preserve">Trinôme </t>
  </si>
  <si>
    <t>Étudiants</t>
  </si>
  <si>
    <t>Mme Pampana</t>
  </si>
  <si>
    <t>Prépa 25</t>
  </si>
  <si>
    <t>TP Physique :</t>
  </si>
  <si>
    <t>Chimie</t>
  </si>
  <si>
    <t>M. Roisin</t>
  </si>
  <si>
    <t>K22</t>
  </si>
  <si>
    <t>TP Info :</t>
  </si>
  <si>
    <t/>
  </si>
  <si>
    <t>TD Anglais</t>
  </si>
  <si>
    <t>TP2</t>
  </si>
  <si>
    <t>TP3</t>
  </si>
  <si>
    <t>Trinômes</t>
  </si>
  <si>
    <t>Place dans le trinôme</t>
  </si>
  <si>
    <t>LV2</t>
  </si>
  <si>
    <t>Groupe G</t>
  </si>
  <si>
    <t>Groupe C</t>
  </si>
  <si>
    <t>Groupe G1</t>
  </si>
  <si>
    <t>Groupe G2</t>
  </si>
  <si>
    <t>Groupe C1</t>
  </si>
  <si>
    <t>Groupe C2</t>
  </si>
  <si>
    <t>Groupe C3</t>
  </si>
  <si>
    <t>ALDEHUELO--LESINSKI Axel</t>
  </si>
  <si>
    <t>TD Physique</t>
  </si>
  <si>
    <t>Jeudi 10h</t>
  </si>
  <si>
    <t>Info</t>
  </si>
  <si>
    <t>Jeudi 11h</t>
  </si>
  <si>
    <t>ALEXANDRE Romeo</t>
  </si>
  <si>
    <t>BIGATI Jules</t>
  </si>
  <si>
    <t>BONNEVAL Lucie</t>
  </si>
  <si>
    <t>BOURDIER Alexandre</t>
  </si>
  <si>
    <t>BROWNE Nora</t>
  </si>
  <si>
    <t>BUGEA--GENOVESE Gaëtan</t>
  </si>
  <si>
    <t>CALISTI Ange</t>
  </si>
  <si>
    <t>CARNAILLE Alexis</t>
  </si>
  <si>
    <t>CASTAGNER Hugo</t>
  </si>
  <si>
    <t>CATHALA Andrea</t>
  </si>
  <si>
    <t>CESARI Elia</t>
  </si>
  <si>
    <t>Espagnol</t>
  </si>
  <si>
    <t>CONSTANCIAS Lucas</t>
  </si>
  <si>
    <t>DARTOIS Thomas</t>
  </si>
  <si>
    <t>TD SI</t>
  </si>
  <si>
    <t>DE SAINT-JEAN Thibault</t>
  </si>
  <si>
    <t>Prépa 35</t>
  </si>
  <si>
    <t>DESPRES Jeanne</t>
  </si>
  <si>
    <t>DORLEANS Louis</t>
  </si>
  <si>
    <t>FILLINGER Collin</t>
  </si>
  <si>
    <t>GARIN Pauline</t>
  </si>
  <si>
    <t>GEIGER Jules</t>
  </si>
  <si>
    <t>GLISSA Ahmed</t>
  </si>
  <si>
    <t>HAKIM Sarra</t>
  </si>
  <si>
    <t>LAMBIN Bérénice</t>
  </si>
  <si>
    <t>LANDRIEU Hugo</t>
  </si>
  <si>
    <t>LE CUE Hector</t>
  </si>
  <si>
    <t>LEVER BOYER Nolan</t>
  </si>
  <si>
    <t>Italien</t>
  </si>
  <si>
    <t>LUCOTTE Louise</t>
  </si>
  <si>
    <t>LUMINATI Baptiste</t>
  </si>
  <si>
    <t>MAUBOIS Morgane</t>
  </si>
  <si>
    <t>MINET Blandine</t>
  </si>
  <si>
    <t>MION--SANTARELLI Pierre-Ange</t>
  </si>
  <si>
    <t>MONCHAL Lou</t>
  </si>
  <si>
    <t>PERRIN Ornella</t>
  </si>
  <si>
    <t>PHILIPPOT Ilian</t>
  </si>
  <si>
    <t>POURCHIER Manon</t>
  </si>
  <si>
    <t>RAITORE Maya</t>
  </si>
  <si>
    <t>RAKOTOARIVELO Yann</t>
  </si>
  <si>
    <t>RASTORGUEFF-RAYBAUD Bastien</t>
  </si>
  <si>
    <t>RAZANAJAO Lucas</t>
  </si>
  <si>
    <t>REBUFFEL Augustine</t>
  </si>
  <si>
    <t>RUAULT Marilou</t>
  </si>
  <si>
    <t>THAERON Helena</t>
  </si>
  <si>
    <t>VIEILLARD BARON Lubin</t>
  </si>
  <si>
    <t>VIROT--FINET Raphaël</t>
  </si>
  <si>
    <t>WATTRELOT--LAZAROWICZ Max</t>
  </si>
  <si>
    <t xml:space="preserve"> </t>
  </si>
  <si>
    <t>Mercredi</t>
  </si>
  <si>
    <t>Groupes</t>
  </si>
  <si>
    <t>Physique</t>
  </si>
  <si>
    <t>Allemand</t>
  </si>
  <si>
    <t>A ou B</t>
  </si>
  <si>
    <t>B</t>
  </si>
  <si>
    <t>A</t>
  </si>
  <si>
    <t>TP Physique</t>
  </si>
  <si>
    <t>TP SI</t>
  </si>
  <si>
    <t>TP Info</t>
  </si>
  <si>
    <t>TD Chimie</t>
  </si>
  <si>
    <t>Anglais</t>
  </si>
  <si>
    <t>Français</t>
  </si>
  <si>
    <t>Mme Gil</t>
  </si>
  <si>
    <t>Prépa 22</t>
  </si>
  <si>
    <t>M. Franch</t>
  </si>
  <si>
    <t>Prépa 23</t>
  </si>
  <si>
    <t>M. Ghiberti</t>
  </si>
  <si>
    <t>Mme Peyrelevade</t>
  </si>
  <si>
    <t>Mme Royer</t>
  </si>
  <si>
    <t>Mme Calvin</t>
  </si>
  <si>
    <t>Prépa 14</t>
  </si>
  <si>
    <t>K25</t>
  </si>
  <si>
    <t>M. Ceccarelli</t>
  </si>
  <si>
    <t>K24</t>
  </si>
  <si>
    <t>M. Daoudi</t>
  </si>
  <si>
    <t>Prépa 10</t>
  </si>
  <si>
    <t>Mme Sebah</t>
  </si>
  <si>
    <t>K33</t>
  </si>
  <si>
    <t>Mme Vives</t>
  </si>
  <si>
    <t>M. Becquet</t>
  </si>
  <si>
    <t>Mme Wallisky</t>
  </si>
  <si>
    <t>M. Ackermann</t>
  </si>
  <si>
    <t>M. Hansen</t>
  </si>
  <si>
    <t>M. Jean</t>
  </si>
  <si>
    <t>Mme Bacchelli</t>
  </si>
  <si>
    <t>K23</t>
  </si>
  <si>
    <t>Mme Zavoli</t>
  </si>
  <si>
    <t>M. Colin</t>
  </si>
  <si>
    <t>Prépa 24</t>
  </si>
  <si>
    <t>M. Lahmar</t>
  </si>
  <si>
    <t>Prépa 21</t>
  </si>
  <si>
    <t>Mme Martin</t>
  </si>
  <si>
    <t>Prépa 36</t>
  </si>
  <si>
    <t>M. Cornette</t>
  </si>
  <si>
    <t>Mme Capitani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</si>
</sst>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"/>
    <numFmt numFmtId="165" formatCode="dddd d mmmm yyyy"/>
    <numFmt numFmtId="166" formatCode="dddd d mmmm"/>
    <numFmt numFmtId="167" formatCode="dddd&quot; &quot;d&quot; &quot;mmmm&quot; &quot;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/>
    <font>
      <color theme="1"/>
      <name val="Arial"/>
    </font>
    <font>
      <color rgb="FFFF0000"/>
      <name val="Arial"/>
      <scheme val="minor"/>
    </font>
    <font>
      <color rgb="FFFF0000"/>
      <name val="Arial"/>
    </font>
    <font>
      <color rgb="FF46B1E1"/>
      <name val="Arial"/>
      <scheme val="minor"/>
    </font>
    <font>
      <color rgb="FF46B1E1"/>
      <name val="Arial"/>
    </font>
    <font>
      <color rgb="FF00B050"/>
      <name val="Arial"/>
      <scheme val="minor"/>
    </font>
    <font>
      <color rgb="FF00B050"/>
      <name val="Arial"/>
    </font>
    <font>
      <color rgb="FFFF40FF"/>
      <name val="Arial"/>
      <scheme val="minor"/>
    </font>
    <font>
      <color rgb="FFFF4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E8E8E8"/>
        <bgColor rgb="FFE8E8E8"/>
      </patternFill>
    </fill>
    <fill>
      <patternFill patternType="solid">
        <fgColor rgb="FFFBE2D5"/>
        <bgColor rgb="FFFBE2D5"/>
      </patternFill>
    </fill>
    <fill>
      <patternFill patternType="solid">
        <fgColor rgb="FFD1D1D1"/>
        <bgColor rgb="FFD1D1D1"/>
      </patternFill>
    </fill>
    <fill>
      <patternFill patternType="solid">
        <fgColor rgb="FFFAED76"/>
        <bgColor rgb="FFFAED76"/>
      </patternFill>
    </fill>
    <fill>
      <patternFill patternType="solid">
        <fgColor rgb="FFBBFBD9"/>
        <bgColor rgb="FFBBFBD9"/>
      </patternFill>
    </fill>
    <fill>
      <patternFill patternType="solid">
        <fgColor rgb="FFF9C999"/>
        <bgColor rgb="FFF9C999"/>
      </patternFill>
    </fill>
    <fill>
      <patternFill patternType="solid">
        <fgColor rgb="FFF9B9EA"/>
        <bgColor rgb="FFF9B9EA"/>
      </patternFill>
    </fill>
    <fill>
      <patternFill patternType="solid">
        <fgColor rgb="FF80DB63"/>
        <bgColor rgb="FF80DB63"/>
      </patternFill>
    </fill>
    <fill>
      <patternFill patternType="solid">
        <fgColor rgb="FFD8A4D8"/>
        <bgColor rgb="FFD8A4D8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right" readingOrder="0"/>
    </xf>
    <xf borderId="3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2" fillId="0" fontId="1" numFmtId="0" xfId="0" applyAlignment="1" applyBorder="1" applyFont="1">
      <alignment horizontal="left"/>
    </xf>
    <xf borderId="0" fillId="0" fontId="4" numFmtId="0" xfId="0" applyAlignment="1" applyFont="1">
      <alignment horizontal="right" readingOrder="0"/>
    </xf>
    <xf borderId="3" fillId="0" fontId="1" numFmtId="0" xfId="0" applyAlignment="1" applyBorder="1" applyFont="1">
      <alignment horizontal="left"/>
    </xf>
    <xf borderId="0" fillId="0" fontId="4" numFmtId="0" xfId="0" applyAlignment="1" applyFont="1">
      <alignment horizontal="left" readingOrder="0"/>
    </xf>
    <xf borderId="4" fillId="0" fontId="4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horizontal="center"/>
    </xf>
    <xf borderId="5" fillId="3" fontId="1" numFmtId="164" xfId="0" applyAlignment="1" applyBorder="1" applyFill="1" applyFont="1" applyNumberFormat="1">
      <alignment horizontal="center"/>
    </xf>
    <xf borderId="6" fillId="0" fontId="1" numFmtId="0" xfId="0" applyAlignment="1" applyBorder="1" applyFont="1">
      <alignment horizontal="left"/>
    </xf>
    <xf borderId="0" fillId="0" fontId="4" numFmtId="165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5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ill="1" applyFont="1">
      <alignment readingOrder="0"/>
    </xf>
    <xf borderId="0" fillId="0" fontId="1" numFmtId="0" xfId="0" applyAlignment="1" applyFont="1">
      <alignment horizontal="right" vertical="center"/>
    </xf>
    <xf borderId="4" fillId="0" fontId="1" numFmtId="0" xfId="0" applyAlignment="1" applyBorder="1" applyFont="1">
      <alignment horizontal="right" vertical="center"/>
    </xf>
    <xf borderId="5" fillId="0" fontId="1" numFmtId="0" xfId="0" applyAlignment="1" applyBorder="1" applyFont="1">
      <alignment horizontal="center"/>
    </xf>
    <xf borderId="5" fillId="3" fontId="1" numFmtId="0" xfId="0" applyAlignment="1" applyBorder="1" applyFill="1" applyFont="1">
      <alignment horizontal="center"/>
    </xf>
    <xf borderId="0" fillId="0" fontId="1" numFmtId="0" xfId="0" applyFont="1"/>
    <xf borderId="7" fillId="0" fontId="1" numFmtId="0" xfId="0" applyAlignment="1" applyBorder="1" applyFont="1">
      <alignment horizontal="right" vertical="center"/>
    </xf>
    <xf borderId="8" fillId="0" fontId="1" numFmtId="165" xfId="0" applyBorder="1" applyFont="1" applyNumberFormat="1"/>
    <xf borderId="9" fillId="0" fontId="1" numFmtId="0" xfId="0" applyAlignment="1" applyBorder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vertical="center"/>
    </xf>
    <xf borderId="1" fillId="0" fontId="2" numFmtId="0" xfId="0" applyAlignment="1" applyBorder="1" applyFont="1">
      <alignment horizontal="left" readingOrder="0"/>
    </xf>
    <xf borderId="10" fillId="0" fontId="1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8" fillId="2" fontId="3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left" readingOrder="0"/>
    </xf>
    <xf borderId="5" fillId="5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5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right" readingOrder="0"/>
    </xf>
    <xf borderId="3" fillId="0" fontId="4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11" fillId="0" fontId="5" numFmtId="0" xfId="0" applyBorder="1" applyFont="1"/>
    <xf borderId="3" fillId="0" fontId="3" numFmtId="0" xfId="0" applyAlignment="1" applyBorder="1" applyFont="1">
      <alignment readingOrder="0"/>
    </xf>
    <xf borderId="0" fillId="0" fontId="4" numFmtId="166" xfId="0" applyAlignment="1" applyFont="1" applyNumberFormat="1">
      <alignment horizontal="right" readingOrder="0"/>
    </xf>
    <xf borderId="2" fillId="0" fontId="4" numFmtId="166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1" numFmtId="0" xfId="0" applyFont="1"/>
    <xf borderId="2" fillId="0" fontId="3" numFmtId="0" xfId="0" applyBorder="1" applyFont="1"/>
    <xf borderId="3" fillId="0" fontId="3" numFmtId="0" xfId="0" applyBorder="1" applyFont="1"/>
    <xf borderId="2" fillId="0" fontId="4" numFmtId="165" xfId="0" applyAlignment="1" applyBorder="1" applyFont="1" applyNumberFormat="1">
      <alignment horizontal="right" readingOrder="0"/>
    </xf>
    <xf borderId="2" fillId="0" fontId="4" numFmtId="49" xfId="0" applyAlignment="1" applyBorder="1" applyFont="1" applyNumberFormat="1">
      <alignment horizontal="right" readingOrder="0"/>
    </xf>
    <xf borderId="2" fillId="0" fontId="4" numFmtId="0" xfId="0" applyAlignment="1" applyBorder="1" applyFont="1">
      <alignment horizontal="left" readingOrder="0"/>
    </xf>
    <xf borderId="2" fillId="0" fontId="4" numFmtId="166" xfId="0" applyAlignment="1" applyBorder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6" fillId="0" fontId="4" numFmtId="0" xfId="0" applyAlignment="1" applyBorder="1" applyFont="1">
      <alignment horizontal="left" readingOrder="0"/>
    </xf>
    <xf borderId="1" fillId="0" fontId="1" numFmtId="167" xfId="0" applyBorder="1" applyFont="1" applyNumberFormat="1"/>
    <xf borderId="0" fillId="0" fontId="4" numFmtId="166" xfId="0" applyAlignment="1" applyFont="1" applyNumberFormat="1">
      <alignment readingOrder="0"/>
    </xf>
    <xf borderId="2" fillId="0" fontId="1" numFmtId="167" xfId="0" applyBorder="1" applyFont="1" applyNumberFormat="1"/>
    <xf borderId="0" fillId="0" fontId="4" numFmtId="49" xfId="0" applyAlignment="1" applyFont="1" applyNumberFormat="1">
      <alignment readingOrder="0"/>
    </xf>
    <xf borderId="2" fillId="0" fontId="1" numFmtId="167" xfId="0" applyAlignment="1" applyBorder="1" applyFont="1" applyNumberFormat="1">
      <alignment horizontal="center"/>
    </xf>
    <xf borderId="2" fillId="0" fontId="1" numFmtId="0" xfId="0" applyBorder="1" applyFont="1"/>
    <xf borderId="7" fillId="0" fontId="4" numFmtId="0" xfId="0" applyAlignment="1" applyBorder="1" applyFont="1">
      <alignment horizontal="right" readingOrder="0"/>
    </xf>
    <xf borderId="8" fillId="0" fontId="4" numFmtId="166" xfId="0" applyAlignment="1" applyBorder="1" applyFont="1" applyNumberFormat="1">
      <alignment horizontal="right" readingOrder="0"/>
    </xf>
    <xf borderId="9" fillId="0" fontId="4" numFmtId="0" xfId="0" applyAlignment="1" applyBorder="1" applyFont="1">
      <alignment horizontal="left" readingOrder="0"/>
    </xf>
    <xf borderId="8" fillId="0" fontId="4" numFmtId="166" xfId="0" applyAlignment="1" applyBorder="1" applyFont="1" applyNumberFormat="1">
      <alignment readingOrder="0"/>
    </xf>
    <xf borderId="8" fillId="0" fontId="4" numFmtId="0" xfId="0" applyAlignment="1" applyBorder="1" applyFont="1">
      <alignment horizontal="left" readingOrder="0"/>
    </xf>
    <xf borderId="3" fillId="0" fontId="1" numFmtId="0" xfId="0" applyBorder="1" applyFont="1"/>
    <xf borderId="0" fillId="0" fontId="1" numFmtId="49" xfId="0" applyFont="1" applyNumberFormat="1"/>
    <xf borderId="4" fillId="0" fontId="1" numFmtId="167" xfId="0" applyBorder="1" applyFont="1" applyNumberFormat="1"/>
    <xf borderId="0" fillId="0" fontId="1" numFmtId="167" xfId="0" applyFont="1" applyNumberFormat="1"/>
    <xf borderId="0" fillId="0" fontId="1" numFmtId="167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1" numFmtId="49" xfId="0" applyAlignment="1" applyFont="1" applyNumberFormat="1">
      <alignment horizontal="right" readingOrder="0"/>
    </xf>
    <xf borderId="0" fillId="0" fontId="1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0" fontId="3" numFmtId="49" xfId="0" applyAlignment="1" applyFont="1" applyNumberFormat="1">
      <alignment readingOrder="0"/>
    </xf>
    <xf borderId="8" fillId="2" fontId="3" numFmtId="0" xfId="0" applyAlignment="1" applyBorder="1" applyFill="1" applyFont="1">
      <alignment readingOrder="0"/>
    </xf>
    <xf borderId="0" fillId="0" fontId="3" numFmtId="0" xfId="0" applyFont="1"/>
    <xf borderId="0" fillId="0" fontId="6" numFmtId="0" xfId="0" applyAlignment="1" applyFont="1">
      <alignment horizontal="right" vertical="bottom"/>
    </xf>
    <xf borderId="6" fillId="0" fontId="1" numFmtId="0" xfId="0" applyBorder="1" applyFont="1"/>
    <xf borderId="0" fillId="0" fontId="1" numFmtId="167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5" fillId="0" fontId="8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8" numFmtId="0" xfId="0" applyAlignment="1" applyBorder="1" applyFont="1">
      <alignment horizontal="left" vertical="bottom"/>
    </xf>
    <xf borderId="0" fillId="0" fontId="9" numFmtId="0" xfId="0" applyAlignment="1" applyFont="1">
      <alignment horizontal="center" readingOrder="0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left" vertical="bottom"/>
    </xf>
    <xf borderId="0" fillId="0" fontId="1" numFmtId="0" xfId="0" applyAlignment="1" applyFont="1">
      <alignment horizontal="left" readingOrder="0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left" vertical="bottom"/>
    </xf>
    <xf borderId="0" fillId="0" fontId="11" numFmtId="0" xfId="0" applyAlignment="1" applyFont="1">
      <alignment horizontal="center" readingOrder="0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left" vertical="bottom"/>
    </xf>
    <xf borderId="0" fillId="0" fontId="13" numFmtId="0" xfId="0" applyAlignment="1" applyFont="1">
      <alignment horizontal="center" readingOrder="0"/>
    </xf>
    <xf borderId="5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left" vertical="bottom"/>
    </xf>
    <xf borderId="5" fillId="6" fontId="1" numFmtId="0" xfId="0" applyBorder="1" applyFill="1" applyFont="1"/>
    <xf borderId="5" fillId="6" fontId="1" numFmtId="0" xfId="0" applyAlignment="1" applyBorder="1" applyFill="1" applyFont="1">
      <alignment horizontal="center"/>
    </xf>
    <xf borderId="5" fillId="0" fontId="1" numFmtId="0" xfId="0" applyBorder="1" applyFont="1"/>
    <xf borderId="5" fillId="0" fontId="7" numFmtId="0" xfId="0" applyAlignment="1" applyBorder="1" applyFont="1">
      <alignment horizontal="center"/>
    </xf>
    <xf borderId="7" fillId="0" fontId="1" numFmtId="167" xfId="0" applyBorder="1" applyFont="1" applyNumberFormat="1"/>
    <xf borderId="8" fillId="0" fontId="1" numFmtId="167" xfId="0" applyBorder="1" applyFont="1" applyNumberFormat="1"/>
    <xf borderId="8" fillId="0" fontId="1" numFmtId="0" xfId="0" applyBorder="1" applyFont="1"/>
    <xf borderId="0" fillId="4" fontId="1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9" fillId="0" fontId="1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2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/>
    </xf>
    <xf borderId="11" fillId="0" fontId="1" numFmtId="0" xfId="0" applyAlignment="1" applyBorder="1" applyFont="1">
      <alignment horizontal="left"/>
    </xf>
    <xf borderId="5" fillId="7" fontId="1" numFmtId="0" xfId="0" applyBorder="1" applyFill="1" applyFont="1"/>
    <xf borderId="5" fillId="7" fontId="1" numFmtId="0" xfId="0" applyAlignment="1" applyBorder="1" applyFill="1" applyFont="1">
      <alignment horizontal="center"/>
    </xf>
    <xf borderId="5" fillId="8" fontId="1" numFmtId="0" xfId="0" applyBorder="1" applyFill="1" applyFont="1"/>
    <xf borderId="5" fillId="8" fontId="1" numFmtId="0" xfId="0" applyAlignment="1" applyBorder="1" applyFill="1" applyFont="1">
      <alignment horizontal="center"/>
    </xf>
    <xf borderId="5" fillId="9" fontId="1" numFmtId="0" xfId="0" applyBorder="1" applyFill="1" applyFont="1"/>
    <xf borderId="5" fillId="9" fontId="1" numFmtId="0" xfId="0" applyAlignment="1" applyBorder="1" applyFill="1" applyFont="1">
      <alignment horizontal="center"/>
    </xf>
    <xf borderId="5" fillId="10" fontId="1" numFmtId="0" xfId="0" applyBorder="1" applyFill="1" applyFont="1"/>
    <xf borderId="5" fillId="10" fontId="1" numFmtId="0" xfId="0" applyAlignment="1" applyBorder="1" applyFill="1" applyFont="1">
      <alignment horizontal="center"/>
    </xf>
    <xf borderId="5" fillId="11" fontId="1" numFmtId="0" xfId="0" applyBorder="1" applyFill="1" applyFont="1"/>
    <xf borderId="5" fillId="11" fontId="1" numFmtId="0" xfId="0" applyAlignment="1" applyBorder="1" applyFill="1" applyFont="1">
      <alignment horizontal="center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B0F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>
        <color rgb="FFFF4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" max="1" width="12.63"/>
    <col customWidth="1" hidden="1" min="2" max="2" width="14.75"/>
    <col customWidth="1" min="3" max="3" width="14.75"/>
    <col customWidth="1" min="7" max="7" width="9.13"/>
    <col customWidth="1" min="8" max="11" width="7.13"/>
    <col customWidth="1" min="12" max="12" width="3.13"/>
    <col customWidth="1" min="13" max="19" width="7.13"/>
    <col customWidth="1" min="20" max="20" width="3.25"/>
    <col customWidth="1" min="21" max="23" width="7.13"/>
    <col customWidth="1" min="24" max="24" width="5.13"/>
    <col customWidth="1" hidden="1" min="25" max="25" width="4.25"/>
    <col customWidth="1" min="26" max="26" width="31.75"/>
    <col customWidth="1" hidden="1" min="27" max="27" width="3.88"/>
    <col customWidth="1" min="28" max="28" width="30.38"/>
  </cols>
  <sheetData>
    <row r="1" hidden="1">
      <c r="D1" s="1"/>
      <c r="E1" s="1"/>
      <c r="F1" s="4"/>
      <c r="G1" s="1">
        <f t="shared" ref="G1:K1" si="1">INDIRECT("Semaines!"&amp;ADDRESS(column()-column($E$1)-countif($F$1:F$1,"")+1,2,4))</f>
        <v>3</v>
      </c>
      <c r="H1" s="1">
        <f t="shared" si="1"/>
        <v>4</v>
      </c>
      <c r="I1" s="1">
        <f t="shared" si="1"/>
        <v>5</v>
      </c>
      <c r="J1" s="1">
        <f t="shared" si="1"/>
        <v>6</v>
      </c>
      <c r="K1" s="1">
        <f t="shared" si="1"/>
        <v>7</v>
      </c>
      <c r="L1" s="1"/>
      <c r="M1" s="1">
        <f t="shared" ref="M1:S1" si="2">INDIRECT("Semaines!"&amp;ADDRESS(column()-column($E$1)-countif($F$1:L$1,"")+1,2,4))</f>
        <v>8</v>
      </c>
      <c r="N1" s="1">
        <f t="shared" si="2"/>
        <v>9</v>
      </c>
      <c r="O1" s="1">
        <f t="shared" si="2"/>
        <v>10</v>
      </c>
      <c r="P1" s="1">
        <f t="shared" si="2"/>
        <v>11</v>
      </c>
      <c r="Q1" s="1">
        <f t="shared" si="2"/>
        <v>12</v>
      </c>
      <c r="R1" s="1">
        <f t="shared" si="2"/>
        <v>13</v>
      </c>
      <c r="S1" s="1">
        <f t="shared" si="2"/>
        <v>14</v>
      </c>
      <c r="T1" s="1"/>
      <c r="U1" s="1">
        <f t="shared" ref="U1:W1" si="3">INDIRECT("Semaines!"&amp;ADDRESS(column()-column($E$1)-countif($F$1:T$1,"")+1,2,4))</f>
        <v>15</v>
      </c>
      <c r="V1" s="1">
        <f t="shared" si="3"/>
        <v>16</v>
      </c>
      <c r="W1" s="1">
        <f t="shared" si="3"/>
        <v>17</v>
      </c>
    </row>
    <row r="2">
      <c r="D2" s="1"/>
      <c r="E2" s="1"/>
      <c r="F2" s="20" t="s">
        <v>6</v>
      </c>
      <c r="G2" s="21">
        <f t="shared" ref="G2:K2" si="4">INDIRECT("Semaines!"&amp;ADDRESS(column()-column($E$1)-countif($F$1:F$1,"")+1,1,4))</f>
        <v>46279</v>
      </c>
      <c r="H2" s="21">
        <f t="shared" si="4"/>
        <v>46286</v>
      </c>
      <c r="I2" s="21">
        <f t="shared" si="4"/>
        <v>46293</v>
      </c>
      <c r="J2" s="21">
        <f t="shared" si="4"/>
        <v>46300</v>
      </c>
      <c r="K2" s="21">
        <f t="shared" si="4"/>
        <v>46307</v>
      </c>
      <c r="L2" s="22"/>
      <c r="M2" s="21">
        <f t="shared" ref="M2:S2" si="5">INDIRECT("Semaines!"&amp;ADDRESS(column()-column($E$1)-countif($F$1:L$1,"")+1,1,4))</f>
        <v>46328</v>
      </c>
      <c r="N2" s="21">
        <f t="shared" si="5"/>
        <v>46335</v>
      </c>
      <c r="O2" s="21">
        <f t="shared" si="5"/>
        <v>46342</v>
      </c>
      <c r="P2" s="21">
        <f t="shared" si="5"/>
        <v>46349</v>
      </c>
      <c r="Q2" s="21">
        <f t="shared" si="5"/>
        <v>46356</v>
      </c>
      <c r="R2" s="21">
        <f t="shared" si="5"/>
        <v>46363</v>
      </c>
      <c r="S2" s="21">
        <f t="shared" si="5"/>
        <v>46370</v>
      </c>
      <c r="T2" s="22"/>
      <c r="U2" s="21">
        <f t="shared" ref="U2:W2" si="6">INDIRECT("Semaines!"&amp;ADDRESS(column()-column($E$1)-countif($F$1:T$1,"")+1,1,4))</f>
        <v>46391</v>
      </c>
      <c r="V2" s="21">
        <f t="shared" si="6"/>
        <v>46398</v>
      </c>
      <c r="W2" s="21">
        <f t="shared" si="6"/>
        <v>46405</v>
      </c>
      <c r="Y2" s="26"/>
      <c r="Z2" s="27" t="s">
        <v>12</v>
      </c>
      <c r="AA2" s="27"/>
      <c r="AB2" s="27" t="s">
        <v>13</v>
      </c>
      <c r="AC2" s="28" t="s">
        <v>14</v>
      </c>
    </row>
    <row r="3">
      <c r="D3" s="1"/>
      <c r="E3" s="1"/>
      <c r="F3" s="20" t="s">
        <v>15</v>
      </c>
      <c r="G3" s="31" t="str">
        <f t="shared" ref="G3:K3" si="7">G$1&amp;INDIRECT("Semaines!"&amp;ADDRESS(column()-column($E$1)-countif($F$1:F$1,"")+1,3,4))</f>
        <v>3B</v>
      </c>
      <c r="H3" s="31" t="str">
        <f t="shared" si="7"/>
        <v>4A</v>
      </c>
      <c r="I3" s="31" t="str">
        <f t="shared" si="7"/>
        <v>5B</v>
      </c>
      <c r="J3" s="31" t="str">
        <f t="shared" si="7"/>
        <v>6A</v>
      </c>
      <c r="K3" s="31" t="str">
        <f t="shared" si="7"/>
        <v>7B</v>
      </c>
      <c r="L3" s="32"/>
      <c r="M3" s="31" t="str">
        <f t="shared" ref="M3:S3" si="8">M$1&amp;INDIRECT("Semaines!"&amp;ADDRESS(column()-column($E$1)-countif($F$1:L$1,"")+1,3,4))</f>
        <v>8A</v>
      </c>
      <c r="N3" s="31" t="str">
        <f t="shared" si="8"/>
        <v>9B</v>
      </c>
      <c r="O3" s="31" t="str">
        <f t="shared" si="8"/>
        <v>10A</v>
      </c>
      <c r="P3" s="31" t="str">
        <f t="shared" si="8"/>
        <v>11B</v>
      </c>
      <c r="Q3" s="31" t="str">
        <f t="shared" si="8"/>
        <v>12A</v>
      </c>
      <c r="R3" s="31" t="str">
        <f t="shared" si="8"/>
        <v>13B</v>
      </c>
      <c r="S3" s="31" t="str">
        <f t="shared" si="8"/>
        <v>14A</v>
      </c>
      <c r="T3" s="32"/>
      <c r="U3" s="31" t="str">
        <f t="shared" ref="U3:W3" si="9">U$1&amp;INDIRECT("Semaines!"&amp;ADDRESS(column()-column($E$1)-countif($F$1:T$1,"")+1,3,4))</f>
        <v>15B</v>
      </c>
      <c r="V3" s="31" t="str">
        <f t="shared" si="9"/>
        <v>16A</v>
      </c>
      <c r="W3" s="31" t="str">
        <f t="shared" si="9"/>
        <v>17B</v>
      </c>
      <c r="Y3" s="38"/>
      <c r="Z3" s="40" t="s">
        <v>18</v>
      </c>
      <c r="AA3" s="43"/>
      <c r="AB3" s="43" t="s">
        <v>20</v>
      </c>
      <c r="AC3" s="43" t="s">
        <v>21</v>
      </c>
    </row>
    <row r="4">
      <c r="A4" s="4"/>
      <c r="B4" s="4"/>
      <c r="C4" s="4"/>
      <c r="D4" s="46" t="s">
        <v>22</v>
      </c>
      <c r="E4" s="46"/>
      <c r="F4" s="48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Y4" s="38"/>
      <c r="Z4" s="54"/>
      <c r="AA4" s="43"/>
      <c r="AB4" s="43" t="s">
        <v>30</v>
      </c>
      <c r="AC4" s="43" t="s">
        <v>9</v>
      </c>
    </row>
    <row r="5">
      <c r="A5" s="4"/>
      <c r="B5" s="4">
        <v>8.0</v>
      </c>
      <c r="D5" s="43" t="s">
        <v>31</v>
      </c>
      <c r="E5" s="43" t="s">
        <v>32</v>
      </c>
      <c r="F5" s="20" t="str">
        <f t="shared" ref="F5:F7" si="10">B5&amp;"h"</f>
        <v>8h</v>
      </c>
      <c r="G5" s="31" t="str">
        <f>if(sumproduct((TPTD!B$6:B$8=$B5),TPTD!$A$6:$A$8)&gt;0,"C"&amp;sumproduct((TPTD!B$6:B$8=$B5),TPTD!$A$6:$A$8),"")</f>
        <v>C3</v>
      </c>
      <c r="H5" s="31" t="str">
        <f>if(sumproduct((TPTD!C$6:C$8=$B5),TPTD!$A$6:$A$8)&gt;0,"C"&amp;sumproduct((TPTD!C$6:C$8=$B5),TPTD!$A$6:$A$8),"")</f>
        <v>C1</v>
      </c>
      <c r="I5" s="31" t="str">
        <f>if(sumproduct((TPTD!D$6:D$8=$B5),TPTD!$A$6:$A$8)&gt;0,"C"&amp;sumproduct((TPTD!D$6:D$8=$B5),TPTD!$A$6:$A$8),"")</f>
        <v>C3</v>
      </c>
      <c r="J5" s="31" t="str">
        <f>if(sumproduct((TPTD!E$6:E$8=$B5),TPTD!$A$6:$A$8)&gt;0,"C"&amp;sumproduct((TPTD!E$6:E$8=$B5),TPTD!$A$6:$A$8),"")</f>
        <v>C1</v>
      </c>
      <c r="K5" s="31" t="str">
        <f>if(sumproduct((TPTD!F$6:F$8=$B5),TPTD!$A$6:$A$8)&gt;0,"C"&amp;sumproduct((TPTD!F$6:F$8=$B5),TPTD!$A$6:$A$8),"")</f>
        <v>C3</v>
      </c>
      <c r="L5" s="32"/>
      <c r="M5" s="31" t="str">
        <f>if(sumproduct((TPTD!H$6:H$8=$B5),TPTD!$A$6:$A$8)&gt;0,"C"&amp;sumproduct((TPTD!H$6:H$8=$B5),TPTD!$A$6:$A$8),"")</f>
        <v>C3</v>
      </c>
      <c r="N5" s="31" t="str">
        <f>if(sumproduct((TPTD!I$6:I$8=$B5),TPTD!$A$6:$A$8)&gt;0,"C"&amp;sumproduct((TPTD!I$6:I$8=$B5),TPTD!$A$6:$A$8),"")</f>
        <v>C1</v>
      </c>
      <c r="O5" s="31" t="str">
        <f>if(sumproduct((TPTD!J$6:J$8=$B5),TPTD!$A$6:$A$8)&gt;0,"C"&amp;sumproduct((TPTD!J$6:J$8=$B5),TPTD!$A$6:$A$8),"")</f>
        <v>C3</v>
      </c>
      <c r="P5" s="31" t="str">
        <f>if(sumproduct((TPTD!K$6:K$8=$B5),TPTD!$A$6:$A$8)&gt;0,"C"&amp;sumproduct((TPTD!K$6:K$8=$B5),TPTD!$A$6:$A$8),"")</f>
        <v>C1</v>
      </c>
      <c r="Q5" s="31" t="str">
        <f>if(sumproduct((TPTD!L$6:L$8=$B5),TPTD!$A$6:$A$8)&gt;0,"C"&amp;sumproduct((TPTD!L$6:L$8=$B5),TPTD!$A$6:$A$8),"")</f>
        <v>C3</v>
      </c>
      <c r="R5" s="31" t="str">
        <f>if(sumproduct((TPTD!M$6:M$8=$B5),TPTD!$A$6:$A$8)&gt;0,"C"&amp;sumproduct((TPTD!M$6:M$8=$B5),TPTD!$A$6:$A$8),"")</f>
        <v>C1</v>
      </c>
      <c r="S5" s="31" t="str">
        <f>if(sumproduct((TPTD!N$6:N$8=$B5),TPTD!$A$6:$A$8)&gt;0,"C"&amp;sumproduct((TPTD!N$6:N$8=$B5),TPTD!$A$6:$A$8),"")</f>
        <v>C3</v>
      </c>
      <c r="T5" s="32"/>
      <c r="U5" s="31" t="str">
        <f>if(sumproduct((TPTD!P$6:P$8=$B5),TPTD!$A$6:$A$8)&gt;0,"C"&amp;sumproduct((TPTD!P$6:P$8=$B5),TPTD!$A$6:$A$8),"")</f>
        <v>C1</v>
      </c>
      <c r="V5" s="31" t="str">
        <f>if(sumproduct((TPTD!Q$6:Q$8=$B5),TPTD!$A$6:$A$8)&gt;0,"C"&amp;sumproduct((TPTD!Q$6:Q$8=$B5),TPTD!$A$6:$A$8),"")</f>
        <v>C3</v>
      </c>
      <c r="W5" s="31" t="str">
        <f>if(sumproduct((TPTD!R$6:R$8=$B5),TPTD!$A$6:$A$8)&gt;0,"C"&amp;sumproduct((TPTD!R$6:R$8=$B5),TPTD!$A$6:$A$8),"")</f>
        <v>C1</v>
      </c>
      <c r="Y5" s="38"/>
      <c r="Z5" s="40" t="s">
        <v>46</v>
      </c>
      <c r="AA5" s="43"/>
      <c r="AB5" s="43" t="s">
        <v>20</v>
      </c>
      <c r="AC5" s="43" t="s">
        <v>9</v>
      </c>
    </row>
    <row r="6">
      <c r="A6" s="4"/>
      <c r="B6" s="4">
        <v>10.0</v>
      </c>
      <c r="D6" s="43" t="s">
        <v>47</v>
      </c>
      <c r="E6" s="43" t="s">
        <v>32</v>
      </c>
      <c r="F6" s="20" t="str">
        <f t="shared" si="10"/>
        <v>10h</v>
      </c>
      <c r="G6" s="31" t="str">
        <f>if(sumproduct((TPTD!B$6:B$8=$B6),TPTD!$A$6:$A$8)&gt;0,"C"&amp;sumproduct((TPTD!B$6:B$8=$B6),TPTD!$A$6:$A$8),"")</f>
        <v>C1</v>
      </c>
      <c r="H6" s="31" t="str">
        <f>if(sumproduct((TPTD!C$6:C$8=$B6),TPTD!$A$6:$A$8)&gt;0,"C"&amp;sumproduct((TPTD!C$6:C$8=$B6),TPTD!$A$6:$A$8),"")</f>
        <v>C3</v>
      </c>
      <c r="I6" s="31" t="str">
        <f>if(sumproduct((TPTD!D$6:D$8=$B6),TPTD!$A$6:$A$8)&gt;0,"C"&amp;sumproduct((TPTD!D$6:D$8=$B6),TPTD!$A$6:$A$8),"")</f>
        <v>C1</v>
      </c>
      <c r="J6" s="31" t="str">
        <f>if(sumproduct((TPTD!E$6:E$8=$B6),TPTD!$A$6:$A$8)&gt;0,"C"&amp;sumproduct((TPTD!E$6:E$8=$B6),TPTD!$A$6:$A$8),"")</f>
        <v>C3</v>
      </c>
      <c r="K6" s="31" t="str">
        <f>if(sumproduct((TPTD!F$6:F$8=$B6),TPTD!$A$6:$A$8)&gt;0,"C"&amp;sumproduct((TPTD!F$6:F$8=$B6),TPTD!$A$6:$A$8),"")</f>
        <v>C1</v>
      </c>
      <c r="L6" s="32"/>
      <c r="M6" s="31" t="str">
        <f>if(sumproduct((TPTD!H$6:H$8=$B6),TPTD!$A$6:$A$8)&gt;0,"C"&amp;sumproduct((TPTD!H$6:H$8=$B6),TPTD!$A$6:$A$8),"")</f>
        <v>C1</v>
      </c>
      <c r="N6" s="31" t="str">
        <f>if(sumproduct((TPTD!I$6:I$8=$B6),TPTD!$A$6:$A$8)&gt;0,"C"&amp;sumproduct((TPTD!I$6:I$8=$B6),TPTD!$A$6:$A$8),"")</f>
        <v>C3</v>
      </c>
      <c r="O6" s="31" t="str">
        <f>if(sumproduct((TPTD!J$6:J$8=$B6),TPTD!$A$6:$A$8)&gt;0,"C"&amp;sumproduct((TPTD!J$6:J$8=$B6),TPTD!$A$6:$A$8),"")</f>
        <v>C1</v>
      </c>
      <c r="P6" s="31" t="str">
        <f>if(sumproduct((TPTD!K$6:K$8=$B6),TPTD!$A$6:$A$8)&gt;0,"C"&amp;sumproduct((TPTD!K$6:K$8=$B6),TPTD!$A$6:$A$8),"")</f>
        <v>C3</v>
      </c>
      <c r="Q6" s="31" t="str">
        <f>if(sumproduct((TPTD!L$6:L$8=$B6),TPTD!$A$6:$A$8)&gt;0,"C"&amp;sumproduct((TPTD!L$6:L$8=$B6),TPTD!$A$6:$A$8),"")</f>
        <v>C1</v>
      </c>
      <c r="R6" s="31" t="str">
        <f>if(sumproduct((TPTD!M$6:M$8=$B6),TPTD!$A$6:$A$8)&gt;0,"C"&amp;sumproduct((TPTD!M$6:M$8=$B6),TPTD!$A$6:$A$8),"")</f>
        <v>C3</v>
      </c>
      <c r="S6" s="31" t="str">
        <f>if(sumproduct((TPTD!N$6:N$8=$B6),TPTD!$A$6:$A$8)&gt;0,"C"&amp;sumproduct((TPTD!N$6:N$8=$B6),TPTD!$A$6:$A$8),"")</f>
        <v>C1</v>
      </c>
      <c r="T6" s="32"/>
      <c r="U6" s="31" t="str">
        <f>if(sumproduct((TPTD!P$6:P$8=$B6),TPTD!$A$6:$A$8)&gt;0,"C"&amp;sumproduct((TPTD!P$6:P$8=$B6),TPTD!$A$6:$A$8),"")</f>
        <v>C3</v>
      </c>
      <c r="V6" s="31" t="str">
        <f>if(sumproduct((TPTD!Q$6:Q$8=$B6),TPTD!$A$6:$A$8)&gt;0,"C"&amp;sumproduct((TPTD!Q$6:Q$8=$B6),TPTD!$A$6:$A$8),"")</f>
        <v>C1</v>
      </c>
      <c r="W6" s="31" t="str">
        <f>if(sumproduct((TPTD!R$6:R$8=$B6),TPTD!$A$6:$A$8)&gt;0,"C"&amp;sumproduct((TPTD!R$6:R$8=$B6),TPTD!$A$6:$A$8),"")</f>
        <v>C3</v>
      </c>
      <c r="Y6" s="38"/>
      <c r="Z6" s="54"/>
      <c r="AA6" s="43"/>
      <c r="AB6" s="43" t="s">
        <v>30</v>
      </c>
      <c r="AC6" s="43" t="s">
        <v>21</v>
      </c>
    </row>
    <row r="7">
      <c r="A7" s="4"/>
      <c r="B7" s="4">
        <v>15.0</v>
      </c>
      <c r="C7" s="4"/>
      <c r="D7" s="43" t="s">
        <v>48</v>
      </c>
      <c r="E7" s="43" t="s">
        <v>32</v>
      </c>
      <c r="F7" s="20" t="str">
        <f t="shared" si="10"/>
        <v>15h</v>
      </c>
      <c r="G7" s="31" t="str">
        <f>if(sumproduct((TPTD!B$6:B$8=$B7),TPTD!$A$6:$A$8)&gt;0,"C"&amp;sumproduct((TPTD!B$6:B$8=$B7),TPTD!$A$6:$A$8),"")</f>
        <v>C2</v>
      </c>
      <c r="H7" s="31" t="str">
        <f>if(sumproduct((TPTD!C$6:C$8=$B7),TPTD!$A$6:$A$8)&gt;0,"C"&amp;sumproduct((TPTD!C$6:C$8=$B7),TPTD!$A$6:$A$8),"")</f>
        <v>C2</v>
      </c>
      <c r="I7" s="31" t="str">
        <f>if(sumproduct((TPTD!D$6:D$8=$B7),TPTD!$A$6:$A$8)&gt;0,"C"&amp;sumproduct((TPTD!D$6:D$8=$B7),TPTD!$A$6:$A$8),"")</f>
        <v>C2</v>
      </c>
      <c r="J7" s="31" t="str">
        <f>if(sumproduct((TPTD!E$6:E$8=$B7),TPTD!$A$6:$A$8)&gt;0,"C"&amp;sumproduct((TPTD!E$6:E$8=$B7),TPTD!$A$6:$A$8),"")</f>
        <v>C2</v>
      </c>
      <c r="K7" s="31" t="str">
        <f>if(sumproduct((TPTD!F$6:F$8=$B7),TPTD!$A$6:$A$8)&gt;0,"C"&amp;sumproduct((TPTD!F$6:F$8=$B7),TPTD!$A$6:$A$8),"")</f>
        <v>C2</v>
      </c>
      <c r="L7" s="32"/>
      <c r="M7" s="31" t="str">
        <f>if(sumproduct((TPTD!H$6:H$8=$B7),TPTD!$A$6:$A$8)&gt;0,"C"&amp;sumproduct((TPTD!H$6:H$8=$B7),TPTD!$A$6:$A$8),"")</f>
        <v>C2</v>
      </c>
      <c r="N7" s="31" t="str">
        <f>if(sumproduct((TPTD!I$6:I$8=$B7),TPTD!$A$6:$A$8)&gt;0,"C"&amp;sumproduct((TPTD!I$6:I$8=$B7),TPTD!$A$6:$A$8),"")</f>
        <v>C2</v>
      </c>
      <c r="O7" s="31" t="str">
        <f>if(sumproduct((TPTD!J$6:J$8=$B7),TPTD!$A$6:$A$8)&gt;0,"C"&amp;sumproduct((TPTD!J$6:J$8=$B7),TPTD!$A$6:$A$8),"")</f>
        <v>C2</v>
      </c>
      <c r="P7" s="31" t="str">
        <f>if(sumproduct((TPTD!K$6:K$8=$B7),TPTD!$A$6:$A$8)&gt;0,"C"&amp;sumproduct((TPTD!K$6:K$8=$B7),TPTD!$A$6:$A$8),"")</f>
        <v>C2</v>
      </c>
      <c r="Q7" s="31" t="str">
        <f>if(sumproduct((TPTD!L$6:L$8=$B7),TPTD!$A$6:$A$8)&gt;0,"C"&amp;sumproduct((TPTD!L$6:L$8=$B7),TPTD!$A$6:$A$8),"")</f>
        <v>C2</v>
      </c>
      <c r="R7" s="31" t="str">
        <f>if(sumproduct((TPTD!M$6:M$8=$B7),TPTD!$A$6:$A$8)&gt;0,"C"&amp;sumproduct((TPTD!M$6:M$8=$B7),TPTD!$A$6:$A$8),"")</f>
        <v>C2</v>
      </c>
      <c r="S7" s="31" t="str">
        <f>if(sumproduct((TPTD!N$6:N$8=$B7),TPTD!$A$6:$A$8)&gt;0,"C"&amp;sumproduct((TPTD!N$6:N$8=$B7),TPTD!$A$6:$A$8),"")</f>
        <v>C2</v>
      </c>
      <c r="T7" s="32"/>
      <c r="U7" s="31" t="str">
        <f>if(sumproduct((TPTD!P$6:P$8=$B7),TPTD!$A$6:$A$8)&gt;0,"C"&amp;sumproduct((TPTD!P$6:P$8=$B7),TPTD!$A$6:$A$8),"")</f>
        <v>C2</v>
      </c>
      <c r="V7" s="31" t="str">
        <f>if(sumproduct((TPTD!Q$6:Q$8=$B7),TPTD!$A$6:$A$8)&gt;0,"C"&amp;sumproduct((TPTD!Q$6:Q$8=$B7),TPTD!$A$6:$A$8),"")</f>
        <v>C2</v>
      </c>
      <c r="W7" s="31" t="str">
        <f>if(sumproduct((TPTD!R$6:R$8=$B7),TPTD!$A$6:$A$8)&gt;0,"C"&amp;sumproduct((TPTD!R$6:R$8=$B7),TPTD!$A$6:$A$8),"")</f>
        <v>C2</v>
      </c>
      <c r="Y7" s="38"/>
      <c r="Z7" s="40" t="s">
        <v>60</v>
      </c>
      <c r="AA7" s="43"/>
      <c r="AB7" s="43" t="s">
        <v>61</v>
      </c>
      <c r="AC7" s="43" t="s">
        <v>9</v>
      </c>
    </row>
    <row r="8">
      <c r="A8" s="4"/>
      <c r="C8" s="4"/>
      <c r="D8" s="46" t="s">
        <v>62</v>
      </c>
      <c r="E8" s="46"/>
      <c r="F8" s="48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Y8" s="38"/>
      <c r="Z8" s="54"/>
      <c r="AA8" s="43"/>
      <c r="AB8" s="43" t="s">
        <v>63</v>
      </c>
      <c r="AC8" s="43" t="s">
        <v>21</v>
      </c>
    </row>
    <row r="9">
      <c r="A9" s="4"/>
      <c r="B9" s="4">
        <v>15.0</v>
      </c>
      <c r="C9" s="4"/>
      <c r="D9" s="43" t="s">
        <v>31</v>
      </c>
      <c r="E9" s="43" t="s">
        <v>32</v>
      </c>
      <c r="F9" s="20" t="str">
        <f t="shared" ref="F9:F10" si="11">B9&amp;"h"</f>
        <v>15h</v>
      </c>
      <c r="G9" s="31" t="str">
        <f>if(sumproduct((TPTD!B$10:B$12=$B9),TPTD!$A$10:$A$12)&gt;0,"C"&amp;sumproduct((TPTD!B$10:B$12=$B9),TPTD!$A$10:$A$12),"")</f>
        <v>C1</v>
      </c>
      <c r="H9" s="31" t="str">
        <f>if(sumproduct((TPTD!C$10:C$12=$B9),TPTD!$A$10:$A$12)&gt;0,"C"&amp;sumproduct((TPTD!C$10:C$12=$B9),TPTD!$A$10:$A$12),"")</f>
        <v/>
      </c>
      <c r="I9" s="31" t="str">
        <f>if(sumproduct((TPTD!D$10:D$12=$B9),TPTD!$A$10:$A$12)&gt;0,"C"&amp;sumproduct((TPTD!D$10:D$12=$B9),TPTD!$A$10:$A$12),"")</f>
        <v>C3</v>
      </c>
      <c r="J9" s="31" t="str">
        <f>if(sumproduct((TPTD!E$10:E$12=$B9),TPTD!$A$10:$A$12)&gt;0,"C"&amp;sumproduct((TPTD!E$10:E$12=$B9),TPTD!$A$10:$A$12),"")</f>
        <v/>
      </c>
      <c r="K9" s="31" t="str">
        <f>if(sumproduct((TPTD!F$10:F$12=$B9),TPTD!$A$10:$A$12)&gt;0,"C"&amp;sumproduct((TPTD!F$10:F$12=$B9),TPTD!$A$10:$A$12),"")</f>
        <v>C1</v>
      </c>
      <c r="L9" s="32"/>
      <c r="M9" s="31" t="str">
        <f>if(sumproduct((TPTD!H$10:H$12=$B9),TPTD!$A$10:$A$12)&gt;0,"C"&amp;sumproduct((TPTD!H$10:H$12=$B9),TPTD!$A$10:$A$12),"")</f>
        <v/>
      </c>
      <c r="N9" s="31" t="str">
        <f>if(sumproduct((TPTD!I$10:I$12=$B9),TPTD!$A$10:$A$12)&gt;0,"C"&amp;sumproduct((TPTD!I$10:I$12=$B9),TPTD!$A$10:$A$12),"")</f>
        <v>C1</v>
      </c>
      <c r="O9" s="31" t="str">
        <f>if(sumproduct((TPTD!J$10:J$12=$B9),TPTD!$A$10:$A$12)&gt;0,"C"&amp;sumproduct((TPTD!J$10:J$12=$B9),TPTD!$A$10:$A$12),"")</f>
        <v/>
      </c>
      <c r="P9" s="31" t="str">
        <f>if(sumproduct((TPTD!K$10:K$12=$B9),TPTD!$A$10:$A$12)&gt;0,"C"&amp;sumproduct((TPTD!K$10:K$12=$B9),TPTD!$A$10:$A$12),"")</f>
        <v>C1</v>
      </c>
      <c r="Q9" s="31" t="str">
        <f>if(sumproduct((TPTD!L$10:L$12=$B9),TPTD!$A$10:$A$12)&gt;0,"C"&amp;sumproduct((TPTD!L$10:L$12=$B9),TPTD!$A$10:$A$12),"")</f>
        <v/>
      </c>
      <c r="R9" s="31" t="str">
        <f>if(sumproduct((TPTD!M$10:M$12=$B9),TPTD!$A$10:$A$12)&gt;0,"C"&amp;sumproduct((TPTD!M$10:M$12=$B9),TPTD!$A$10:$A$12),"")</f>
        <v>C3</v>
      </c>
      <c r="S9" s="31" t="str">
        <f>if(sumproduct((TPTD!N$10:N$12=$B9),TPTD!$A$10:$A$12)&gt;0,"C"&amp;sumproduct((TPTD!N$10:N$12=$B9),TPTD!$A$10:$A$12),"")</f>
        <v/>
      </c>
      <c r="T9" s="32"/>
      <c r="U9" s="31" t="str">
        <f>if(sumproduct((TPTD!P$10:P$12=$B9),TPTD!$A$10:$A$12)&gt;0,"C"&amp;sumproduct((TPTD!P$10:P$12=$B9),TPTD!$A$10:$A$12),"")</f>
        <v>C1</v>
      </c>
      <c r="V9" s="31" t="str">
        <f>if(sumproduct((TPTD!Q$10:Q$12=$B9),TPTD!$A$10:$A$12)&gt;0,"C"&amp;sumproduct((TPTD!Q$10:Q$12=$B9),TPTD!$A$10:$A$12),"")</f>
        <v/>
      </c>
      <c r="W9" s="31" t="str">
        <f>if(sumproduct((TPTD!R$10:R$12=$B9),TPTD!$A$10:$A$12)&gt;0,"C"&amp;sumproduct((TPTD!R$10:R$12=$B9),TPTD!$A$10:$A$12),"")</f>
        <v/>
      </c>
      <c r="Y9" s="38"/>
      <c r="Z9" s="40" t="s">
        <v>78</v>
      </c>
      <c r="AA9" s="43"/>
      <c r="AB9" s="43" t="s">
        <v>61</v>
      </c>
      <c r="AC9" s="43" t="s">
        <v>21</v>
      </c>
    </row>
    <row r="10">
      <c r="A10" s="4"/>
      <c r="B10" s="4">
        <v>17.0</v>
      </c>
      <c r="C10" s="4"/>
      <c r="D10" s="43" t="s">
        <v>47</v>
      </c>
      <c r="E10" s="43" t="s">
        <v>32</v>
      </c>
      <c r="F10" s="20" t="str">
        <f t="shared" si="11"/>
        <v>17h</v>
      </c>
      <c r="G10" s="31" t="str">
        <f>if(sumproduct((TPTD!B$10:B$12=$B10),TPTD!$A$10:$A$12)&gt;0,"C"&amp;sumproduct((TPTD!B$10:B$12=$B10),TPTD!$A$10:$A$12),"")</f>
        <v>C3</v>
      </c>
      <c r="H10" s="31" t="str">
        <f>if(sumproduct((TPTD!C$10:C$12=$B10),TPTD!$A$10:$A$12)&gt;0,"C"&amp;sumproduct((TPTD!C$10:C$12=$B10),TPTD!$A$10:$A$12),"")</f>
        <v>C2</v>
      </c>
      <c r="I10" s="31" t="str">
        <f>if(sumproduct((TPTD!D$10:D$12=$B10),TPTD!$A$10:$A$12)&gt;0,"C"&amp;sumproduct((TPTD!D$10:D$12=$B10),TPTD!$A$10:$A$12),"")</f>
        <v>C2</v>
      </c>
      <c r="J10" s="31" t="str">
        <f>if(sumproduct((TPTD!E$10:E$12=$B10),TPTD!$A$10:$A$12)&gt;0,"C"&amp;sumproduct((TPTD!E$10:E$12=$B10),TPTD!$A$10:$A$12),"")</f>
        <v>C1</v>
      </c>
      <c r="K10" s="31" t="str">
        <f>if(sumproduct((TPTD!F$10:F$12=$B10),TPTD!$A$10:$A$12)&gt;0,"C"&amp;sumproduct((TPTD!F$10:F$12=$B10),TPTD!$A$10:$A$12),"")</f>
        <v>C3</v>
      </c>
      <c r="L10" s="32"/>
      <c r="M10" s="31" t="str">
        <f>if(sumproduct((TPTD!H$10:H$12=$B10),TPTD!$A$10:$A$12)&gt;0,"C"&amp;sumproduct((TPTD!H$10:H$12=$B10),TPTD!$A$10:$A$12),"")</f>
        <v>C2</v>
      </c>
      <c r="N10" s="31" t="str">
        <f>if(sumproduct((TPTD!I$10:I$12=$B10),TPTD!$A$10:$A$12)&gt;0,"C"&amp;sumproduct((TPTD!I$10:I$12=$B10),TPTD!$A$10:$A$12),"")</f>
        <v>C2</v>
      </c>
      <c r="O10" s="31" t="str">
        <f>if(sumproduct((TPTD!J$10:J$12=$B10),TPTD!$A$10:$A$12)&gt;0,"C"&amp;sumproduct((TPTD!J$10:J$12=$B10),TPTD!$A$10:$A$12),"")</f>
        <v>C3</v>
      </c>
      <c r="P10" s="31" t="str">
        <f>if(sumproduct((TPTD!K$10:K$12=$B10),TPTD!$A$10:$A$12)&gt;0,"C"&amp;sumproduct((TPTD!K$10:K$12=$B10),TPTD!$A$10:$A$12),"")</f>
        <v>C3</v>
      </c>
      <c r="Q10" s="31" t="str">
        <f>if(sumproduct((TPTD!L$10:L$12=$B10),TPTD!$A$10:$A$12)&gt;0,"C"&amp;sumproduct((TPTD!L$10:L$12=$B10),TPTD!$A$10:$A$12),"")</f>
        <v>C2</v>
      </c>
      <c r="R10" s="31" t="str">
        <f>if(sumproduct((TPTD!M$10:M$12=$B10),TPTD!$A$10:$A$12)&gt;0,"C"&amp;sumproduct((TPTD!M$10:M$12=$B10),TPTD!$A$10:$A$12),"")</f>
        <v>C2</v>
      </c>
      <c r="S10" s="31" t="str">
        <f>if(sumproduct((TPTD!N$10:N$12=$B10),TPTD!$A$10:$A$12)&gt;0,"C"&amp;sumproduct((TPTD!N$10:N$12=$B10),TPTD!$A$10:$A$12),"")</f>
        <v>C1</v>
      </c>
      <c r="T10" s="32"/>
      <c r="U10" s="31" t="str">
        <f>if(sumproduct((TPTD!P$10:P$12=$B10),TPTD!$A$10:$A$12)&gt;0,"C"&amp;sumproduct((TPTD!P$10:P$12=$B10),TPTD!$A$10:$A$12),"")</f>
        <v>C2</v>
      </c>
      <c r="V10" s="31" t="str">
        <f>if(sumproduct((TPTD!Q$10:Q$12=$B10),TPTD!$A$10:$A$12)&gt;0,"C"&amp;sumproduct((TPTD!Q$10:Q$12=$B10),TPTD!$A$10:$A$12),"")</f>
        <v>C3</v>
      </c>
      <c r="W10" s="31" t="str">
        <f>if(sumproduct((TPTD!R$10:R$12=$B10),TPTD!$A$10:$A$12)&gt;0,"C"&amp;sumproduct((TPTD!R$10:R$12=$B10),TPTD!$A$10:$A$12),"")</f>
        <v/>
      </c>
      <c r="Y10" s="38"/>
      <c r="Z10" s="54"/>
      <c r="AA10" s="43"/>
      <c r="AB10" s="43" t="s">
        <v>63</v>
      </c>
      <c r="AC10" s="43" t="s">
        <v>9</v>
      </c>
    </row>
    <row r="11">
      <c r="A11" s="4"/>
      <c r="B11" s="4"/>
      <c r="C11" s="4"/>
      <c r="D11" s="46" t="s">
        <v>41</v>
      </c>
      <c r="E11" s="46"/>
      <c r="F11" s="48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Z11" s="4" t="s">
        <v>112</v>
      </c>
    </row>
    <row r="12">
      <c r="A12" s="4"/>
      <c r="B12" s="4">
        <v>15.0</v>
      </c>
      <c r="C12" s="4"/>
      <c r="D12" s="43" t="s">
        <v>12</v>
      </c>
      <c r="E12" s="43" t="s">
        <v>113</v>
      </c>
      <c r="F12" s="20" t="str">
        <f>B12&amp;"h"</f>
        <v>15h</v>
      </c>
      <c r="G12" s="31" t="str">
        <f>if(sumproduct((TPTD!B$14:B$15=$B12),TPTD!$A$14:$A$15)&gt;0,"G"&amp;sumproduct((TPTD!B$14:B$15=$B12),TPTD!$A$14:$A$15),"")</f>
        <v>G1</v>
      </c>
      <c r="H12" s="31" t="str">
        <f>if(sumproduct((TPTD!C$14:C$15=$B12),TPTD!$A$14:$A$15)&gt;0,"G"&amp;sumproduct((TPTD!C$14:C$15=$B12),TPTD!$A$14:$A$15),"")</f>
        <v>G2</v>
      </c>
      <c r="I12" s="31" t="str">
        <f>if(sumproduct((TPTD!D$14:D$15=$B12),TPTD!$A$14:$A$15)&gt;0,"G"&amp;sumproduct((TPTD!D$14:D$15=$B12),TPTD!$A$14:$A$15),"")</f>
        <v>G1</v>
      </c>
      <c r="J12" s="31" t="str">
        <f>if(sumproduct((TPTD!E$14:E$15=$B12),TPTD!$A$14:$A$15)&gt;0,"G"&amp;sumproduct((TPTD!E$14:E$15=$B12),TPTD!$A$14:$A$15),"")</f>
        <v>G2</v>
      </c>
      <c r="K12" s="31" t="str">
        <f>if(sumproduct((TPTD!F$14:F$15=$B12),TPTD!$A$14:$A$15)&gt;0,"G"&amp;sumproduct((TPTD!F$14:F$15=$B12),TPTD!$A$14:$A$15),"")</f>
        <v/>
      </c>
      <c r="L12" s="32"/>
      <c r="M12" s="31" t="str">
        <f>if(sumproduct((TPTD!H$14:H$15=$B12),TPTD!$A$14:$A$15)&gt;0,"G"&amp;sumproduct((TPTD!H$14:H$15=$B12),TPTD!$A$14:$A$15),"")</f>
        <v>G1</v>
      </c>
      <c r="N12" s="31" t="str">
        <f>if(sumproduct((TPTD!I$14:I$15=$B12),TPTD!$A$14:$A$15)&gt;0,"G"&amp;sumproduct((TPTD!I$14:I$15=$B12),TPTD!$A$14:$A$15),"")</f>
        <v/>
      </c>
      <c r="O12" s="31" t="str">
        <f>if(sumproduct((TPTD!J$14:J$15=$B12),TPTD!$A$14:$A$15)&gt;0,"G"&amp;sumproduct((TPTD!J$14:J$15=$B12),TPTD!$A$14:$A$15),"")</f>
        <v>G2</v>
      </c>
      <c r="P12" s="31" t="str">
        <f>if(sumproduct((TPTD!K$14:K$15=$B12),TPTD!$A$14:$A$15)&gt;0,"G"&amp;sumproduct((TPTD!K$14:K$15=$B12),TPTD!$A$14:$A$15),"")</f>
        <v>G1</v>
      </c>
      <c r="Q12" s="31" t="str">
        <f>if(sumproduct((TPTD!L$14:L$15=$B12),TPTD!$A$14:$A$15)&gt;0,"G"&amp;sumproduct((TPTD!L$14:L$15=$B12),TPTD!$A$14:$A$15),"")</f>
        <v>G2</v>
      </c>
      <c r="R12" s="31" t="str">
        <f>if(sumproduct((TPTD!M$14:M$15=$B12),TPTD!$A$14:$A$15)&gt;0,"G"&amp;sumproduct((TPTD!M$14:M$15=$B12),TPTD!$A$14:$A$15),"")</f>
        <v>G1</v>
      </c>
      <c r="S12" s="31" t="str">
        <f>if(sumproduct((TPTD!N$14:N$15=$B12),TPTD!$A$14:$A$15)&gt;0,"G"&amp;sumproduct((TPTD!N$14:N$15=$B12),TPTD!$A$14:$A$15),"")</f>
        <v>G2</v>
      </c>
      <c r="T12" s="32"/>
      <c r="U12" s="31" t="str">
        <f>if(sumproduct((TPTD!P$14:P$15=$B12),TPTD!$A$14:$A$15)&gt;0,"G"&amp;sumproduct((TPTD!P$14:P$15=$B12),TPTD!$A$14:$A$15),"")</f>
        <v>G1</v>
      </c>
      <c r="V12" s="31" t="str">
        <f>if(sumproduct((TPTD!Q$14:Q$15=$B12),TPTD!$A$14:$A$15)&gt;0,"G"&amp;sumproduct((TPTD!Q$14:Q$15=$B12),TPTD!$A$14:$A$15),"")</f>
        <v>G2</v>
      </c>
      <c r="W12" s="31" t="str">
        <f>if(sumproduct((TPTD!R$14:R$15=$B12),TPTD!$A$14:$A$15)&gt;0,"G"&amp;sumproduct((TPTD!R$14:R$15=$B12),TPTD!$A$14:$A$15),"")</f>
        <v>G1</v>
      </c>
      <c r="Y12" s="102"/>
      <c r="Z12" s="28" t="s">
        <v>114</v>
      </c>
      <c r="AA12" s="28"/>
      <c r="AB12" s="28" t="s">
        <v>49</v>
      </c>
    </row>
    <row r="13">
      <c r="A13" s="4"/>
      <c r="B13" s="4"/>
      <c r="C13" s="4"/>
      <c r="D13" s="46" t="s">
        <v>115</v>
      </c>
      <c r="E13" s="46"/>
      <c r="F13" s="48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Y13" s="103"/>
      <c r="Z13" s="104" t="str">
        <f>"C1"&amp;'Trinômes'!R18</f>
        <v>C1</v>
      </c>
      <c r="AA13" s="105"/>
      <c r="AB13" s="106" t="str">
        <f>'Trinômes'!Q18</f>
        <v>1 – 2 – 3 – 4 – 5 – 6</v>
      </c>
    </row>
    <row r="14">
      <c r="A14" s="4"/>
      <c r="B14" s="4">
        <v>8.0</v>
      </c>
      <c r="C14" s="4"/>
      <c r="D14" s="43" t="s">
        <v>31</v>
      </c>
      <c r="E14" s="43" t="s">
        <v>32</v>
      </c>
      <c r="F14" s="20" t="str">
        <f t="shared" ref="F14:F15" si="12">B14&amp;"h"</f>
        <v>8h</v>
      </c>
      <c r="G14" s="31" t="str">
        <f>if(sumproduct((TPTD!B$3:B$4=$B14),TPTD!$A$3:$A$4)&gt;0,"G"&amp;sumproduct((TPTD!B$3:B$4=$B14),TPTD!$A$3:$A$4),"")</f>
        <v>G1</v>
      </c>
      <c r="H14" s="31" t="str">
        <f>if(sumproduct((TPTD!C$3:C$4=$B14),TPTD!$A$3:$A$4)&gt;0,"G"&amp;sumproduct((TPTD!C$3:C$4=$B14),TPTD!$A$3:$A$4),"")</f>
        <v>G2</v>
      </c>
      <c r="I14" s="31" t="str">
        <f>if(sumproduct((TPTD!D$3:D$4=$B14),TPTD!$A$3:$A$4)&gt;0,"G"&amp;sumproduct((TPTD!D$3:D$4=$B14),TPTD!$A$3:$A$4),"")</f>
        <v>G1</v>
      </c>
      <c r="J14" s="31" t="str">
        <f>if(sumproduct((TPTD!E$3:E$4=$B14),TPTD!$A$3:$A$4)&gt;0,"G"&amp;sumproduct((TPTD!E$3:E$4=$B14),TPTD!$A$3:$A$4),"")</f>
        <v>G2</v>
      </c>
      <c r="K14" s="31" t="str">
        <f>if(sumproduct((TPTD!F$3:F$4=$B14),TPTD!$A$3:$A$4)&gt;0,"G"&amp;sumproduct((TPTD!F$3:F$4=$B14),TPTD!$A$3:$A$4),"")</f>
        <v>G1</v>
      </c>
      <c r="L14" s="32"/>
      <c r="M14" s="31" t="str">
        <f>if(sumproduct((TPTD!H$3:H$4=$B14),TPTD!$A$3:$A$4)&gt;0,"G"&amp;sumproduct((TPTD!H$3:H$4=$B14),TPTD!$A$3:$A$4),"")</f>
        <v>G1</v>
      </c>
      <c r="N14" s="31" t="str">
        <f>if(sumproduct((TPTD!I$3:I$4=$B14),TPTD!$A$3:$A$4)&gt;0,"G"&amp;sumproduct((TPTD!I$3:I$4=$B14),TPTD!$A$3:$A$4),"")</f>
        <v>G2</v>
      </c>
      <c r="O14" s="31" t="str">
        <f>if(sumproduct((TPTD!J$3:J$4=$B14),TPTD!$A$3:$A$4)&gt;0,"G"&amp;sumproduct((TPTD!J$3:J$4=$B14),TPTD!$A$3:$A$4),"")</f>
        <v>G1</v>
      </c>
      <c r="P14" s="31" t="str">
        <f>if(sumproduct((TPTD!K$3:K$4=$B14),TPTD!$A$3:$A$4)&gt;0,"G"&amp;sumproduct((TPTD!K$3:K$4=$B14),TPTD!$A$3:$A$4),"")</f>
        <v>G2</v>
      </c>
      <c r="Q14" s="31" t="str">
        <f>if(sumproduct((TPTD!L$3:L$4=$B14),TPTD!$A$3:$A$4)&gt;0,"G"&amp;sumproduct((TPTD!L$3:L$4=$B14),TPTD!$A$3:$A$4),"")</f>
        <v>G1</v>
      </c>
      <c r="R14" s="31" t="str">
        <f>if(sumproduct((TPTD!M$3:M$4=$B14),TPTD!$A$3:$A$4)&gt;0,"G"&amp;sumproduct((TPTD!M$3:M$4=$B14),TPTD!$A$3:$A$4),"")</f>
        <v>G2</v>
      </c>
      <c r="S14" s="31" t="str">
        <f>if(sumproduct((TPTD!N$3:N$4=$B14),TPTD!$A$3:$A$4)&gt;0,"G"&amp;sumproduct((TPTD!N$3:N$4=$B14),TPTD!$A$3:$A$4),"")</f>
        <v>G1</v>
      </c>
      <c r="T14" s="32"/>
      <c r="U14" s="31" t="str">
        <f>if(sumproduct((TPTD!P$3:P$4=$B14),TPTD!$A$3:$A$4)&gt;0,"G"&amp;sumproduct((TPTD!P$3:P$4=$B14),TPTD!$A$3:$A$4),"")</f>
        <v>G2</v>
      </c>
      <c r="V14" s="31" t="str">
        <f>if(sumproduct((TPTD!Q$3:Q$4=$B14),TPTD!$A$3:$A$4)&gt;0,"G"&amp;sumproduct((TPTD!Q$3:Q$4=$B14),TPTD!$A$3:$A$4),"")</f>
        <v>G1</v>
      </c>
      <c r="W14" s="31" t="str">
        <f>if(sumproduct((TPTD!R$3:R$4=$B14),TPTD!$A$3:$A$4)&gt;0,"G"&amp;sumproduct((TPTD!R$3:R$4=$B14),TPTD!$A$3:$A$4),"")</f>
        <v>G2</v>
      </c>
      <c r="Y14" s="107"/>
      <c r="Z14" s="108" t="str">
        <f>"C2"&amp;'Trinômes'!U18</f>
        <v>C2</v>
      </c>
      <c r="AA14" s="105"/>
      <c r="AB14" s="109" t="str">
        <f>'Trinômes'!T18</f>
        <v>7 – 8 – 9 – 10 – 11</v>
      </c>
    </row>
    <row r="15">
      <c r="A15" s="4"/>
      <c r="B15" s="4">
        <v>10.0</v>
      </c>
      <c r="C15" s="4"/>
      <c r="D15" s="43" t="s">
        <v>47</v>
      </c>
      <c r="E15" s="43" t="s">
        <v>32</v>
      </c>
      <c r="F15" s="20" t="str">
        <f t="shared" si="12"/>
        <v>10h</v>
      </c>
      <c r="G15" s="31" t="str">
        <f>if(sumproduct((TPTD!B$3:B$4=$B15),TPTD!$A$3:$A$4)&gt;0,"G"&amp;sumproduct((TPTD!B$3:B$4=$B15),TPTD!$A$3:$A$4),"")</f>
        <v>G2</v>
      </c>
      <c r="H15" s="31" t="str">
        <f>if(sumproduct((TPTD!C$3:C$4=$B15),TPTD!$A$3:$A$4)&gt;0,"G"&amp;sumproduct((TPTD!C$3:C$4=$B15),TPTD!$A$3:$A$4),"")</f>
        <v>G1</v>
      </c>
      <c r="I15" s="31" t="str">
        <f>if(sumproduct((TPTD!D$3:D$4=$B15),TPTD!$A$3:$A$4)&gt;0,"G"&amp;sumproduct((TPTD!D$3:D$4=$B15),TPTD!$A$3:$A$4),"")</f>
        <v>G2</v>
      </c>
      <c r="J15" s="31" t="str">
        <f>if(sumproduct((TPTD!E$3:E$4=$B15),TPTD!$A$3:$A$4)&gt;0,"G"&amp;sumproduct((TPTD!E$3:E$4=$B15),TPTD!$A$3:$A$4),"")</f>
        <v>G1</v>
      </c>
      <c r="K15" s="31" t="str">
        <f>if(sumproduct((TPTD!F$3:F$4=$B15),TPTD!$A$3:$A$4)&gt;0,"G"&amp;sumproduct((TPTD!F$3:F$4=$B15),TPTD!$A$3:$A$4),"")</f>
        <v>G2</v>
      </c>
      <c r="L15" s="32"/>
      <c r="M15" s="31" t="str">
        <f>if(sumproduct((TPTD!H$3:H$4=$B15),TPTD!$A$3:$A$4)&gt;0,"G"&amp;sumproduct((TPTD!H$3:H$4=$B15),TPTD!$A$3:$A$4),"")</f>
        <v>G2</v>
      </c>
      <c r="N15" s="31" t="str">
        <f>if(sumproduct((TPTD!I$3:I$4=$B15),TPTD!$A$3:$A$4)&gt;0,"G"&amp;sumproduct((TPTD!I$3:I$4=$B15),TPTD!$A$3:$A$4),"")</f>
        <v>G1</v>
      </c>
      <c r="O15" s="31" t="str">
        <f>if(sumproduct((TPTD!J$3:J$4=$B15),TPTD!$A$3:$A$4)&gt;0,"G"&amp;sumproduct((TPTD!J$3:J$4=$B15),TPTD!$A$3:$A$4),"")</f>
        <v>G2</v>
      </c>
      <c r="P15" s="31" t="str">
        <f>if(sumproduct((TPTD!K$3:K$4=$B15),TPTD!$A$3:$A$4)&gt;0,"G"&amp;sumproduct((TPTD!K$3:K$4=$B15),TPTD!$A$3:$A$4),"")</f>
        <v>G1</v>
      </c>
      <c r="Q15" s="31" t="str">
        <f>if(sumproduct((TPTD!L$3:L$4=$B15),TPTD!$A$3:$A$4)&gt;0,"G"&amp;sumproduct((TPTD!L$3:L$4=$B15),TPTD!$A$3:$A$4),"")</f>
        <v>G2</v>
      </c>
      <c r="R15" s="31" t="str">
        <f>if(sumproduct((TPTD!M$3:M$4=$B15),TPTD!$A$3:$A$4)&gt;0,"G"&amp;sumproduct((TPTD!M$3:M$4=$B15),TPTD!$A$3:$A$4),"")</f>
        <v>G1</v>
      </c>
      <c r="S15" s="31" t="str">
        <f>if(sumproduct((TPTD!N$3:N$4=$B15),TPTD!$A$3:$A$4)&gt;0,"G"&amp;sumproduct((TPTD!N$3:N$4=$B15),TPTD!$A$3:$A$4),"")</f>
        <v>G2</v>
      </c>
      <c r="T15" s="32"/>
      <c r="U15" s="31" t="str">
        <f>if(sumproduct((TPTD!P$3:P$4=$B15),TPTD!$A$3:$A$4)&gt;0,"G"&amp;sumproduct((TPTD!P$3:P$4=$B15),TPTD!$A$3:$A$4),"")</f>
        <v>G1</v>
      </c>
      <c r="V15" s="31" t="str">
        <f>if(sumproduct((TPTD!Q$3:Q$4=$B15),TPTD!$A$3:$A$4)&gt;0,"G"&amp;sumproduct((TPTD!Q$3:Q$4=$B15),TPTD!$A$3:$A$4),"")</f>
        <v>G2</v>
      </c>
      <c r="W15" s="31" t="str">
        <f>if(sumproduct((TPTD!R$3:R$4=$B15),TPTD!$A$3:$A$4)&gt;0,"G"&amp;sumproduct((TPTD!R$3:R$4=$B15),TPTD!$A$3:$A$4),"")</f>
        <v>G1</v>
      </c>
      <c r="Y15" s="88"/>
      <c r="Z15" s="111" t="str">
        <f>"C3"&amp;'Trinômes'!X18</f>
        <v>C3 – LV2</v>
      </c>
      <c r="AA15" s="105"/>
      <c r="AB15" s="112" t="str">
        <f>'Trinômes'!W18</f>
        <v>12 – 13 – 14 – 15 – 16</v>
      </c>
    </row>
    <row r="16">
      <c r="A16" s="4"/>
      <c r="B16" s="4"/>
      <c r="C16" s="4"/>
      <c r="D16" s="88"/>
      <c r="E16" s="88"/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Y16" s="113"/>
      <c r="Z16" s="114" t="str">
        <f>"G1"&amp;'Trinômes'!L18</f>
        <v>G1</v>
      </c>
      <c r="AA16" s="105"/>
      <c r="AB16" s="115" t="str">
        <f>'Trinômes'!K18</f>
        <v>1 – 2 – 3 – 4 – 5 – 6 – 7 – 8</v>
      </c>
    </row>
    <row r="17">
      <c r="A17" s="4"/>
      <c r="B17" s="4"/>
      <c r="C17" s="20" t="s">
        <v>27</v>
      </c>
      <c r="D17" s="43" t="s">
        <v>24</v>
      </c>
      <c r="E17" s="43" t="s">
        <v>34</v>
      </c>
      <c r="F17" s="20" t="s">
        <v>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Y17" s="116"/>
      <c r="Z17" s="117" t="str">
        <f>"G2"&amp;'Trinômes'!O18</f>
        <v>G2 – LV2</v>
      </c>
      <c r="AA17" s="105"/>
      <c r="AB17" s="118" t="str">
        <f>'Trinômes'!N18</f>
        <v>9 – 10 – 11 – 12 – 13 – 14 – 15 – 16</v>
      </c>
    </row>
    <row r="18">
      <c r="A18" s="4"/>
      <c r="C18" s="119" t="str">
        <f>A19</f>
        <v>Mathématiques</v>
      </c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</row>
    <row r="19">
      <c r="A19" s="4" t="str">
        <f>'Créneaux'!I2</f>
        <v>Mathématiques</v>
      </c>
      <c r="B19" s="60">
        <f>'Créneaux'!J2</f>
        <v>1</v>
      </c>
      <c r="C19" s="121" t="str">
        <f>'Créneaux'!K2</f>
        <v>M. Villéger</v>
      </c>
      <c r="D19" s="31" t="str">
        <f>switch('Créneaux'!L2,0,"Lundi",1,"Mardi",2,"Mercredi",3,"Jeudi",4,"Vendredi")</f>
        <v>Mercredi</v>
      </c>
      <c r="E19" s="31" t="str">
        <f>'Créneaux'!M2&amp;"h"</f>
        <v>15h</v>
      </c>
      <c r="F19" s="31" t="str">
        <f>'Créneaux'!N2</f>
        <v>Prépa 35</v>
      </c>
      <c r="G19" s="32" t="str">
        <f>if(sumproduct((Colles!$A$2:$A$97=$A19),(Colles!C$2:C$97=$B19),(Colles!$B$2:$B$97))&gt;0,sumproduct((Colles!$A$2:$A$97=$A19),(Colles!C$2:C$97=$B19),(Colles!$B$2:$B$97)),"")</f>
        <v/>
      </c>
      <c r="H19" s="31">
        <f>if(sumproduct((Colles!$A$2:$A$97=$A19),(Colles!D$2:D$97=$B19),(Colles!$B$2:$B$97))&gt;0,sumproduct((Colles!$A$2:$A$97=$A19),(Colles!D$2:D$97=$B19),(Colles!$B$2:$B$97)),"")</f>
        <v>1</v>
      </c>
      <c r="I19" s="122">
        <f>if(sumproduct((Colles!$A$2:$A$97=$A19),(Colles!E$2:E$97=$B19),(Colles!$B$2:$B$97))&gt;0,sumproduct((Colles!$A$2:$A$97=$A19),(Colles!E$2:E$97=$B19),(Colles!$B$2:$B$97)),"")</f>
        <v>14</v>
      </c>
      <c r="J19" s="31">
        <f>if(sumproduct((Colles!$A$2:$A$97=$A19),(Colles!F$2:F$97=$B19),(Colles!$B$2:$B$97))&gt;0,sumproduct((Colles!$A$2:$A$97=$A19),(Colles!F$2:F$97=$B19),(Colles!$B$2:$B$97)),"")</f>
        <v>7</v>
      </c>
      <c r="K19" s="122">
        <f>if(sumproduct((Colles!$A$2:$A$97=$A19),(Colles!G$2:G$97=$B19),(Colles!$B$2:$B$97))&gt;0,sumproduct((Colles!$A$2:$A$97=$A19),(Colles!G$2:G$97=$B19),(Colles!$B$2:$B$97)),"")</f>
        <v>12</v>
      </c>
      <c r="L19" s="32"/>
      <c r="M19" s="31">
        <f>if(sumproduct((Colles!$A$2:$A$97=$A19),(Colles!I$2:I$97=$B19),(Colles!$B$2:$B$97))&gt;0,sumproduct((Colles!$A$2:$A$97=$A19),(Colles!I$2:I$97=$B19),(Colles!$B$2:$B$97)),"")</f>
        <v>11</v>
      </c>
      <c r="N19" s="122">
        <f>if(sumproduct((Colles!$A$2:$A$97=$A19),(Colles!J$2:J$97=$B19),(Colles!$B$2:$B$97))&gt;0,sumproduct((Colles!$A$2:$A$97=$A19),(Colles!J$2:J$97=$B19),(Colles!$B$2:$B$97)),"")</f>
        <v>10</v>
      </c>
      <c r="O19" s="31">
        <f>if(sumproduct((Colles!$A$2:$A$97=$A19),(Colles!K$2:K$97=$B19),(Colles!$B$2:$B$97))&gt;0,sumproduct((Colles!$A$2:$A$97=$A19),(Colles!K$2:K$97=$B19),(Colles!$B$2:$B$97)),"")</f>
        <v>7</v>
      </c>
      <c r="P19" s="122">
        <f>if(sumproduct((Colles!$A$2:$A$97=$A19),(Colles!L$2:L$97=$B19),(Colles!$B$2:$B$97))&gt;0,sumproduct((Colles!$A$2:$A$97=$A19),(Colles!L$2:L$97=$B19),(Colles!$B$2:$B$97)),"")</f>
        <v>16</v>
      </c>
      <c r="Q19" s="31">
        <f>if(sumproduct((Colles!$A$2:$A$97=$A19),(Colles!M$2:M$97=$B19),(Colles!$B$2:$B$97))&gt;0,sumproduct((Colles!$A$2:$A$97=$A19),(Colles!M$2:M$97=$B19),(Colles!$B$2:$B$97)),"")</f>
        <v>1</v>
      </c>
      <c r="R19" s="122">
        <f>if(sumproduct((Colles!$A$2:$A$97=$A19),(Colles!N$2:N$97=$B19),(Colles!$B$2:$B$97))&gt;0,sumproduct((Colles!$A$2:$A$97=$A19),(Colles!N$2:N$97=$B19),(Colles!$B$2:$B$97)),"")</f>
        <v>14</v>
      </c>
      <c r="S19" s="31">
        <f>if(sumproduct((Colles!$A$2:$A$97=$A19),(Colles!O$2:O$97=$B19),(Colles!$B$2:$B$97))&gt;0,sumproduct((Colles!$A$2:$A$97=$A19),(Colles!O$2:O$97=$B19),(Colles!$B$2:$B$97)),"")</f>
        <v>3</v>
      </c>
      <c r="T19" s="32"/>
      <c r="U19" s="32" t="str">
        <f>if(sumproduct((Colles!$A$2:$A$97=$A19),(Colles!Q$2:Q$97=$B19),(Colles!$B$2:$B$97))&gt;0,sumproduct((Colles!$A$2:$A$97=$A19),(Colles!Q$2:Q$97=$B19),(Colles!$B$2:$B$97)),"")</f>
        <v/>
      </c>
      <c r="V19" s="122">
        <f>if(sumproduct((Colles!$A$2:$A$97=$A19),(Colles!R$2:R$97=$B19),(Colles!$B$2:$B$97))&gt;0,sumproduct((Colles!$A$2:$A$97=$A19),(Colles!R$2:R$97=$B19),(Colles!$B$2:$B$97)),"")</f>
        <v>4</v>
      </c>
      <c r="W19" s="31">
        <f>if(sumproduct((Colles!$A$2:$A$97=$A19),(Colles!S$2:S$97=$B19),(Colles!$B$2:$B$97))&gt;0,sumproduct((Colles!$A$2:$A$97=$A19),(Colles!S$2:S$97=$B19),(Colles!$B$2:$B$97)),"")</f>
        <v>15</v>
      </c>
      <c r="Y19" s="126"/>
      <c r="Z19" s="127" t="s">
        <v>49</v>
      </c>
      <c r="AA19" s="128"/>
      <c r="AB19" s="129"/>
    </row>
    <row r="20">
      <c r="A20" s="4" t="str">
        <f>'Créneaux'!I3</f>
        <v>Mathématiques</v>
      </c>
      <c r="B20" s="60">
        <f>'Créneaux'!J3</f>
        <v>2</v>
      </c>
      <c r="C20" s="121" t="str">
        <f>'Créneaux'!K3</f>
        <v>M. Villéger</v>
      </c>
      <c r="D20" s="31" t="str">
        <f>switch('Créneaux'!L3,0,"Lundi",1,"Mardi",2,"Mercredi",3,"Jeudi",4,"Vendredi")</f>
        <v>Mercredi</v>
      </c>
      <c r="E20" s="31" t="str">
        <f>'Créneaux'!M3&amp;"h"</f>
        <v>16h</v>
      </c>
      <c r="F20" s="31" t="str">
        <f>'Créneaux'!N3</f>
        <v>Prépa 35</v>
      </c>
      <c r="G20" s="32" t="str">
        <f>if(sumproduct((Colles!$A$2:$A$97=$A20),(Colles!C$2:C$97=$B20),(Colles!$B$2:$B$97))&gt;0,sumproduct((Colles!$A$2:$A$97=$A20),(Colles!C$2:C$97=$B20),(Colles!$B$2:$B$97)),"")</f>
        <v/>
      </c>
      <c r="H20" s="31">
        <f>if(sumproduct((Colles!$A$2:$A$97=$A20),(Colles!D$2:D$97=$B20),(Colles!$B$2:$B$97))&gt;0,sumproduct((Colles!$A$2:$A$97=$A20),(Colles!D$2:D$97=$B20),(Colles!$B$2:$B$97)),"")</f>
        <v>15</v>
      </c>
      <c r="I20" s="122">
        <f>if(sumproduct((Colles!$A$2:$A$97=$A20),(Colles!E$2:E$97=$B20),(Colles!$B$2:$B$97))&gt;0,sumproduct((Colles!$A$2:$A$97=$A20),(Colles!E$2:E$97=$B20),(Colles!$B$2:$B$97)),"")</f>
        <v>4</v>
      </c>
      <c r="J20" s="31">
        <f>if(sumproduct((Colles!$A$2:$A$97=$A20),(Colles!F$2:F$97=$B20),(Colles!$B$2:$B$97))&gt;0,sumproduct((Colles!$A$2:$A$97=$A20),(Colles!F$2:F$97=$B20),(Colles!$B$2:$B$97)),"")</f>
        <v>13</v>
      </c>
      <c r="K20" s="122">
        <f>if(sumproduct((Colles!$A$2:$A$97=$A20),(Colles!G$2:G$97=$B20),(Colles!$B$2:$B$97))&gt;0,sumproduct((Colles!$A$2:$A$97=$A20),(Colles!G$2:G$97=$B20),(Colles!$B$2:$B$97)),"")</f>
        <v>6</v>
      </c>
      <c r="L20" s="32"/>
      <c r="M20" s="31">
        <f>if(sumproduct((Colles!$A$2:$A$97=$A20),(Colles!I$2:I$97=$B20),(Colles!$B$2:$B$97))&gt;0,sumproduct((Colles!$A$2:$A$97=$A20),(Colles!I$2:I$97=$B20),(Colles!$B$2:$B$97)),"")</f>
        <v>5</v>
      </c>
      <c r="N20" s="122">
        <f>if(sumproduct((Colles!$A$2:$A$97=$A20),(Colles!J$2:J$97=$B20),(Colles!$B$2:$B$97))&gt;0,sumproduct((Colles!$A$2:$A$97=$A20),(Colles!J$2:J$97=$B20),(Colles!$B$2:$B$97)),"")</f>
        <v>8</v>
      </c>
      <c r="O20" s="31">
        <f>if(sumproduct((Colles!$A$2:$A$97=$A20),(Colles!K$2:K$97=$B20),(Colles!$B$2:$B$97))&gt;0,sumproduct((Colles!$A$2:$A$97=$A20),(Colles!K$2:K$97=$B20),(Colles!$B$2:$B$97)),"")</f>
        <v>9</v>
      </c>
      <c r="P20" s="122">
        <f>if(sumproduct((Colles!$A$2:$A$97=$A20),(Colles!L$2:L$97=$B20),(Colles!$B$2:$B$97))&gt;0,sumproduct((Colles!$A$2:$A$97=$A20),(Colles!L$2:L$97=$B20),(Colles!$B$2:$B$97)),"")</f>
        <v>2</v>
      </c>
      <c r="Q20" s="31">
        <f>if(sumproduct((Colles!$A$2:$A$97=$A20),(Colles!M$2:M$97=$B20),(Colles!$B$2:$B$97))&gt;0,sumproduct((Colles!$A$2:$A$97=$A20),(Colles!M$2:M$97=$B20),(Colles!$B$2:$B$97)),"")</f>
        <v>15</v>
      </c>
      <c r="R20" s="122">
        <f>if(sumproduct((Colles!$A$2:$A$97=$A20),(Colles!N$2:N$97=$B20),(Colles!$B$2:$B$97))&gt;0,sumproduct((Colles!$A$2:$A$97=$A20),(Colles!N$2:N$97=$B20),(Colles!$B$2:$B$97)),"")</f>
        <v>4</v>
      </c>
      <c r="S20" s="31">
        <f>if(sumproduct((Colles!$A$2:$A$97=$A20),(Colles!O$2:O$97=$B20),(Colles!$B$2:$B$97))&gt;0,sumproduct((Colles!$A$2:$A$97=$A20),(Colles!O$2:O$97=$B20),(Colles!$B$2:$B$97)),"")</f>
        <v>9</v>
      </c>
      <c r="T20" s="32"/>
      <c r="U20" s="32" t="str">
        <f>if(sumproduct((Colles!$A$2:$A$97=$A20),(Colles!Q$2:Q$97=$B20),(Colles!$B$2:$B$97))&gt;0,sumproduct((Colles!$A$2:$A$97=$A20),(Colles!Q$2:Q$97=$B20),(Colles!$B$2:$B$97)),"")</f>
        <v/>
      </c>
      <c r="V20" s="122">
        <f>if(sumproduct((Colles!$A$2:$A$97=$A20),(Colles!R$2:R$97=$B20),(Colles!$B$2:$B$97))&gt;0,sumproduct((Colles!$A$2:$A$97=$A20),(Colles!R$2:R$97=$B20),(Colles!$B$2:$B$97)),"")</f>
        <v>16</v>
      </c>
      <c r="W20" s="31">
        <f>if(sumproduct((Colles!$A$2:$A$97=$A20),(Colles!S$2:S$97=$B20),(Colles!$B$2:$B$97))&gt;0,sumproduct((Colles!$A$2:$A$97=$A20),(Colles!S$2:S$97=$B20),(Colles!$B$2:$B$97)),"")</f>
        <v>1</v>
      </c>
      <c r="Y20" s="126"/>
      <c r="Z20" s="131"/>
      <c r="AA20" s="132"/>
      <c r="AB20" s="133"/>
    </row>
    <row r="21">
      <c r="A21" s="4" t="str">
        <f>'Créneaux'!I4</f>
        <v>Mathématiques</v>
      </c>
      <c r="B21" s="60">
        <f>'Créneaux'!J4</f>
        <v>3</v>
      </c>
      <c r="C21" s="121" t="str">
        <f>'Créneaux'!K4</f>
        <v>Mme Gil</v>
      </c>
      <c r="D21" s="31" t="str">
        <f>switch('Créneaux'!L4,0,"Lundi",1,"Mardi",2,"Mercredi",3,"Jeudi",4,"Vendredi")</f>
        <v>Mercredi</v>
      </c>
      <c r="E21" s="31" t="str">
        <f>'Créneaux'!M4&amp;"h"</f>
        <v>15h</v>
      </c>
      <c r="F21" s="31" t="str">
        <f>'Créneaux'!N4</f>
        <v>Prépa 22</v>
      </c>
      <c r="G21" s="32" t="str">
        <f>if(sumproduct((Colles!$A$2:$A$97=$A21),(Colles!C$2:C$97=$B21),(Colles!$B$2:$B$97))&gt;0,sumproduct((Colles!$A$2:$A$97=$A21),(Colles!C$2:C$97=$B21),(Colles!$B$2:$B$97)),"")</f>
        <v/>
      </c>
      <c r="H21" s="31">
        <f>if(sumproduct((Colles!$A$2:$A$97=$A21),(Colles!D$2:D$97=$B21),(Colles!$B$2:$B$97))&gt;0,sumproduct((Colles!$A$2:$A$97=$A21),(Colles!D$2:D$97=$B21),(Colles!$B$2:$B$97)),"")</f>
        <v>3</v>
      </c>
      <c r="I21" s="122">
        <f>if(sumproduct((Colles!$A$2:$A$97=$A21),(Colles!E$2:E$97=$B21),(Colles!$B$2:$B$97))&gt;0,sumproduct((Colles!$A$2:$A$97=$A21),(Colles!E$2:E$97=$B21),(Colles!$B$2:$B$97)),"")</f>
        <v>16</v>
      </c>
      <c r="J21" s="31">
        <f>if(sumproduct((Colles!$A$2:$A$97=$A21),(Colles!F$2:F$97=$B21),(Colles!$B$2:$B$97))&gt;0,sumproduct((Colles!$A$2:$A$97=$A21),(Colles!F$2:F$97=$B21),(Colles!$B$2:$B$97)),"")</f>
        <v>5</v>
      </c>
      <c r="K21" s="122">
        <f>if(sumproduct((Colles!$A$2:$A$97=$A21),(Colles!G$2:G$97=$B21),(Colles!$B$2:$B$97))&gt;0,sumproduct((Colles!$A$2:$A$97=$A21),(Colles!G$2:G$97=$B21),(Colles!$B$2:$B$97)),"")</f>
        <v>10</v>
      </c>
      <c r="L21" s="32"/>
      <c r="M21" s="31">
        <f>if(sumproduct((Colles!$A$2:$A$97=$A21),(Colles!I$2:I$97=$B21),(Colles!$B$2:$B$97))&gt;0,sumproduct((Colles!$A$2:$A$97=$A21),(Colles!I$2:I$97=$B21),(Colles!$B$2:$B$97)),"")</f>
        <v>15</v>
      </c>
      <c r="N21" s="122">
        <f>if(sumproduct((Colles!$A$2:$A$97=$A21),(Colles!J$2:J$97=$B21),(Colles!$B$2:$B$97))&gt;0,sumproduct((Colles!$A$2:$A$97=$A21),(Colles!J$2:J$97=$B21),(Colles!$B$2:$B$97)),"")</f>
        <v>16</v>
      </c>
      <c r="O21" s="31">
        <f>if(sumproduct((Colles!$A$2:$A$97=$A21),(Colles!K$2:K$97=$B21),(Colles!$B$2:$B$97))&gt;0,sumproduct((Colles!$A$2:$A$97=$A21),(Colles!K$2:K$97=$B21),(Colles!$B$2:$B$97)),"")</f>
        <v>5</v>
      </c>
      <c r="P21" s="122">
        <f>if(sumproduct((Colles!$A$2:$A$97=$A21),(Colles!L$2:L$97=$B21),(Colles!$B$2:$B$97))&gt;0,sumproduct((Colles!$A$2:$A$97=$A21),(Colles!L$2:L$97=$B21),(Colles!$B$2:$B$97)),"")</f>
        <v>14</v>
      </c>
      <c r="Q21" s="31">
        <f>if(sumproduct((Colles!$A$2:$A$97=$A21),(Colles!M$2:M$97=$B21),(Colles!$B$2:$B$97))&gt;0,sumproduct((Colles!$A$2:$A$97=$A21),(Colles!M$2:M$97=$B21),(Colles!$B$2:$B$97)),"")</f>
        <v>3</v>
      </c>
      <c r="R21" s="122">
        <f>if(sumproduct((Colles!$A$2:$A$97=$A21),(Colles!N$2:N$97=$B21),(Colles!$B$2:$B$97))&gt;0,sumproduct((Colles!$A$2:$A$97=$A21),(Colles!N$2:N$97=$B21),(Colles!$B$2:$B$97)),"")</f>
        <v>10</v>
      </c>
      <c r="S21" s="31">
        <f>if(sumproduct((Colles!$A$2:$A$97=$A21),(Colles!O$2:O$97=$B21),(Colles!$B$2:$B$97))&gt;0,sumproduct((Colles!$A$2:$A$97=$A21),(Colles!O$2:O$97=$B21),(Colles!$B$2:$B$97)),"")</f>
        <v>7</v>
      </c>
      <c r="T21" s="32"/>
      <c r="U21" s="32" t="str">
        <f>if(sumproduct((Colles!$A$2:$A$97=$A21),(Colles!Q$2:Q$97=$B21),(Colles!$B$2:$B$97))&gt;0,sumproduct((Colles!$A$2:$A$97=$A21),(Colles!Q$2:Q$97=$B21),(Colles!$B$2:$B$97)),"")</f>
        <v/>
      </c>
      <c r="V21" s="122">
        <f>if(sumproduct((Colles!$A$2:$A$97=$A21),(Colles!R$2:R$97=$B21),(Colles!$B$2:$B$97))&gt;0,sumproduct((Colles!$A$2:$A$97=$A21),(Colles!R$2:R$97=$B21),(Colles!$B$2:$B$97)),"")</f>
        <v>2</v>
      </c>
      <c r="W21" s="31">
        <f>if(sumproduct((Colles!$A$2:$A$97=$A21),(Colles!S$2:S$97=$B21),(Colles!$B$2:$B$97))&gt;0,sumproduct((Colles!$A$2:$A$97=$A21),(Colles!S$2:S$97=$B21),(Colles!$B$2:$B$97)),"")</f>
        <v>9</v>
      </c>
      <c r="Y21" s="110">
        <v>1.0</v>
      </c>
      <c r="Z21" s="134" t="str">
        <f>Y21&amp;IF(SUMPRODUCT('Trinômes'!$A$2:$A$48=Z22,'Trinômes'!$D$2:$D$48&lt;&gt;0)+SUMPRODUCT('Trinômes'!$A$2:$A$48=Z23,'Trinômes'!$D$2:$D$48&lt;&gt;0)+SUMPRODUCT('Trinômes'!$A$2:$A$48=Z24,'Trinômes'!$D$2:$D$48&lt;&gt;0)&gt;0," – LV2","")</f>
        <v>1</v>
      </c>
      <c r="AA21" s="135">
        <f>Y21+1</f>
        <v>2</v>
      </c>
      <c r="AB21" s="136" t="str">
        <f>AA21&amp;IF(SUMPRODUCT('Trinômes'!$A$2:$A$48=AB22,'Trinômes'!$D$2:$D$48&lt;&gt;0)+SUMPRODUCT('Trinômes'!$A$2:$A$48=AB23,'Trinômes'!$D$2:$D$48&lt;&gt;0)+SUMPRODUCT('Trinômes'!$A$2:$A$48=AB24,'Trinômes'!$D$2:$D$48&lt;&gt;0)&gt;0," – LV2","")</f>
        <v>2</v>
      </c>
    </row>
    <row r="22">
      <c r="A22" s="4" t="str">
        <f>'Créneaux'!I5</f>
        <v>Mathématiques</v>
      </c>
      <c r="B22" s="60">
        <f>'Créneaux'!J5</f>
        <v>4</v>
      </c>
      <c r="C22" s="121" t="str">
        <f>'Créneaux'!K5</f>
        <v>M. Franch</v>
      </c>
      <c r="D22" s="31" t="str">
        <f>switch('Créneaux'!L5,0,"Lundi",1,"Mardi",2,"Mercredi",3,"Jeudi",4,"Vendredi")</f>
        <v>Mercredi</v>
      </c>
      <c r="E22" s="31" t="str">
        <f>'Créneaux'!M5&amp;"h"</f>
        <v>17h</v>
      </c>
      <c r="F22" s="31" t="str">
        <f>'Créneaux'!N5</f>
        <v>Prépa 23</v>
      </c>
      <c r="G22" s="32" t="str">
        <f>if(sumproduct((Colles!$A$2:$A$97=$A22),(Colles!C$2:C$97=$B22),(Colles!$B$2:$B$97))&gt;0,sumproduct((Colles!$A$2:$A$97=$A22),(Colles!C$2:C$97=$B22),(Colles!$B$2:$B$97)),"")</f>
        <v/>
      </c>
      <c r="H22" s="31">
        <f>if(sumproduct((Colles!$A$2:$A$97=$A22),(Colles!D$2:D$97=$B22),(Colles!$B$2:$B$97))&gt;0,sumproduct((Colles!$A$2:$A$97=$A22),(Colles!D$2:D$97=$B22),(Colles!$B$2:$B$97)),"")</f>
        <v>11</v>
      </c>
      <c r="I22" s="122">
        <f>if(sumproduct((Colles!$A$2:$A$97=$A22),(Colles!E$2:E$97=$B22),(Colles!$B$2:$B$97))&gt;0,sumproduct((Colles!$A$2:$A$97=$A22),(Colles!E$2:E$97=$B22),(Colles!$B$2:$B$97)),"")</f>
        <v>6</v>
      </c>
      <c r="J22" s="31">
        <f>if(sumproduct((Colles!$A$2:$A$97=$A22),(Colles!F$2:F$97=$B22),(Colles!$B$2:$B$97))&gt;0,sumproduct((Colles!$A$2:$A$97=$A22),(Colles!F$2:F$97=$B22),(Colles!$B$2:$B$97)),"")</f>
        <v>9</v>
      </c>
      <c r="K22" s="122">
        <f>if(sumproduct((Colles!$A$2:$A$97=$A22),(Colles!G$2:G$97=$B22),(Colles!$B$2:$B$97))&gt;0,sumproduct((Colles!$A$2:$A$97=$A22),(Colles!G$2:G$97=$B22),(Colles!$B$2:$B$97)),"")</f>
        <v>8</v>
      </c>
      <c r="L22" s="32"/>
      <c r="M22" s="31">
        <f>if(sumproduct((Colles!$A$2:$A$97=$A22),(Colles!I$2:I$97=$B22),(Colles!$B$2:$B$97))&gt;0,sumproduct((Colles!$A$2:$A$97=$A22),(Colles!I$2:I$97=$B22),(Colles!$B$2:$B$97)),"")</f>
        <v>13</v>
      </c>
      <c r="N22" s="122">
        <f>if(sumproduct((Colles!$A$2:$A$97=$A22),(Colles!J$2:J$97=$B22),(Colles!$B$2:$B$97))&gt;0,sumproduct((Colles!$A$2:$A$97=$A22),(Colles!J$2:J$97=$B22),(Colles!$B$2:$B$97)),"")</f>
        <v>2</v>
      </c>
      <c r="O22" s="31">
        <f>if(sumproduct((Colles!$A$2:$A$97=$A22),(Colles!K$2:K$97=$B22),(Colles!$B$2:$B$97))&gt;0,sumproduct((Colles!$A$2:$A$97=$A22),(Colles!K$2:K$97=$B22),(Colles!$B$2:$B$97)),"")</f>
        <v>13</v>
      </c>
      <c r="P22" s="122">
        <f>if(sumproduct((Colles!$A$2:$A$97=$A22),(Colles!L$2:L$97=$B22),(Colles!$B$2:$B$97))&gt;0,sumproduct((Colles!$A$2:$A$97=$A22),(Colles!L$2:L$97=$B22),(Colles!$B$2:$B$97)),"")</f>
        <v>4</v>
      </c>
      <c r="Q22" s="31">
        <f>if(sumproduct((Colles!$A$2:$A$97=$A22),(Colles!M$2:M$97=$B22),(Colles!$B$2:$B$97))&gt;0,sumproduct((Colles!$A$2:$A$97=$A22),(Colles!M$2:M$97=$B22),(Colles!$B$2:$B$97)),"")</f>
        <v>11</v>
      </c>
      <c r="R22" s="122">
        <f>if(sumproduct((Colles!$A$2:$A$97=$A22),(Colles!N$2:N$97=$B22),(Colles!$B$2:$B$97))&gt;0,sumproduct((Colles!$A$2:$A$97=$A22),(Colles!N$2:N$97=$B22),(Colles!$B$2:$B$97)),"")</f>
        <v>6</v>
      </c>
      <c r="S22" s="31">
        <f>if(sumproduct((Colles!$A$2:$A$97=$A22),(Colles!O$2:O$97=$B22),(Colles!$B$2:$B$97))&gt;0,sumproduct((Colles!$A$2:$A$97=$A22),(Colles!O$2:O$97=$B22),(Colles!$B$2:$B$97)),"")</f>
        <v>13</v>
      </c>
      <c r="T22" s="32"/>
      <c r="U22" s="32" t="str">
        <f>if(sumproduct((Colles!$A$2:$A$97=$A22),(Colles!Q$2:Q$97=$B22),(Colles!$B$2:$B$97))&gt;0,sumproduct((Colles!$A$2:$A$97=$A22),(Colles!Q$2:Q$97=$B22),(Colles!$B$2:$B$97)),"")</f>
        <v/>
      </c>
      <c r="V22" s="122">
        <f>if(sumproduct((Colles!$A$2:$A$97=$A22),(Colles!R$2:R$97=$B22),(Colles!$B$2:$B$97))&gt;0,sumproduct((Colles!$A$2:$A$97=$A22),(Colles!R$2:R$97=$B22),(Colles!$B$2:$B$97)),"")</f>
        <v>10</v>
      </c>
      <c r="W22" s="31">
        <f>if(sumproduct((Colles!$A$2:$A$97=$A22),(Colles!S$2:S$97=$B22),(Colles!$B$2:$B$97))&gt;0,sumproduct((Colles!$A$2:$A$97=$A22),(Colles!S$2:S$97=$B22),(Colles!$B$2:$B$97)),"")</f>
        <v>3</v>
      </c>
      <c r="Y22" s="6">
        <f t="shared" ref="Y22:Y25" si="13">Y21</f>
        <v>1</v>
      </c>
      <c r="Z22" s="137" t="str">
        <f t="array" ref="Z22">IF(ISERROR(ADDRESS(SUMPRODUCT('Trinômes'!$B$2:$B$48=Y22,'Trinômes'!$C$2:$C$48=COUNTIF(Y$21:Y22,"="&amp;Y22)-1
,ROW('Trinômes'!$A$2:$A$48)),COLUMN('Trinômes'!$A$1)-COLUMN('Trinômes'!$A$1)+1)),"",indirect("Trinômes!"&amp;ADDRESS(SUMPRODUCT('Trinômes'!$B$2:$B$48=Y22,'Trinômes'!$C$2:$C$48=COUNTIF(Y$21:Y22,"="&amp;Y22)-1
,ROW('Trinômes'!$A$2:$A$48)),COLUMN('Trinômes'!$A$1)-COLUMN('Trinômes'!$A$1)+1)))</f>
        <v>ALDEHUELO--LESINSKI Axel</v>
      </c>
      <c r="AA22" s="6">
        <f t="shared" ref="AA22:AA25" si="14">AA21</f>
        <v>2</v>
      </c>
      <c r="AB22" s="137" t="str">
        <f t="array" ref="AB22">IF(ISERROR(ADDRESS(SUMPRODUCT('Trinômes'!$B$2:$B$48=AA22,'Trinômes'!$C$2:$C$48=COUNTIF(AA$21:AA22,"="&amp;AA22)-1
,ROW('Trinômes'!$A$2:$A$48)),COLUMN('Trinômes'!$A$1)-COLUMN('Trinômes'!$A$1)+1)),"",indirect("Trinômes!"&amp;ADDRESS(SUMPRODUCT('Trinômes'!$B$2:$B$48=AA22,'Trinômes'!$C$2:$C$48=COUNTIF(AA$21:AA22,"="&amp;AA22)-1
,ROW('Trinômes'!$A$2:$A$48)),COLUMN('Trinômes'!$A$1)-COLUMN('Trinômes'!$A$1)+1)))</f>
        <v>BONNEVAL Lucie</v>
      </c>
    </row>
    <row r="23">
      <c r="A23" s="4" t="str">
        <f>'Créneaux'!I6</f>
        <v>Mathématiques</v>
      </c>
      <c r="B23" s="60">
        <f>'Créneaux'!J6</f>
        <v>5</v>
      </c>
      <c r="C23" s="121" t="str">
        <f>'Créneaux'!K6</f>
        <v>M. Ghiberti</v>
      </c>
      <c r="D23" s="31" t="str">
        <f>switch('Créneaux'!L6,0,"Lundi",1,"Mardi",2,"Mercredi",3,"Jeudi",4,"Vendredi")</f>
        <v>Lundi</v>
      </c>
      <c r="E23" s="31" t="str">
        <f>'Créneaux'!M6&amp;"h"</f>
        <v>17h</v>
      </c>
      <c r="F23" s="31" t="str">
        <f>'Créneaux'!N6</f>
        <v>K22</v>
      </c>
      <c r="G23" s="32" t="str">
        <f>if(sumproduct((Colles!$A$2:$A$97=$A23),(Colles!C$2:C$97=$B23),(Colles!$B$2:$B$97))&gt;0,sumproduct((Colles!$A$2:$A$97=$A23),(Colles!C$2:C$97=$B23),(Colles!$B$2:$B$97)),"")</f>
        <v/>
      </c>
      <c r="H23" s="31">
        <f>if(sumproduct((Colles!$A$2:$A$97=$A23),(Colles!D$2:D$97=$B23),(Colles!$B$2:$B$97))&gt;0,sumproduct((Colles!$A$2:$A$97=$A23),(Colles!D$2:D$97=$B23),(Colles!$B$2:$B$97)),"")</f>
        <v>7</v>
      </c>
      <c r="I23" s="122">
        <f>if(sumproduct((Colles!$A$2:$A$97=$A23),(Colles!E$2:E$97=$B23),(Colles!$B$2:$B$97))&gt;0,sumproduct((Colles!$A$2:$A$97=$A23),(Colles!E$2:E$97=$B23),(Colles!$B$2:$B$97)),"")</f>
        <v>10</v>
      </c>
      <c r="J23" s="31">
        <f>if(sumproduct((Colles!$A$2:$A$97=$A23),(Colles!F$2:F$97=$B23),(Colles!$B$2:$B$97))&gt;0,sumproduct((Colles!$A$2:$A$97=$A23),(Colles!F$2:F$97=$B23),(Colles!$B$2:$B$97)),"")</f>
        <v>3</v>
      </c>
      <c r="K23" s="122">
        <f>if(sumproduct((Colles!$A$2:$A$97=$A23),(Colles!G$2:G$97=$B23),(Colles!$B$2:$B$97))&gt;0,sumproduct((Colles!$A$2:$A$97=$A23),(Colles!G$2:G$97=$B23),(Colles!$B$2:$B$97)),"")</f>
        <v>16</v>
      </c>
      <c r="L23" s="32"/>
      <c r="M23" s="31">
        <f>if(sumproduct((Colles!$A$2:$A$97=$A23),(Colles!I$2:I$97=$B23),(Colles!$B$2:$B$97))&gt;0,sumproduct((Colles!$A$2:$A$97=$A23),(Colles!I$2:I$97=$B23),(Colles!$B$2:$B$97)),"")</f>
        <v>1</v>
      </c>
      <c r="N23" s="122">
        <f>if(sumproduct((Colles!$A$2:$A$97=$A23),(Colles!J$2:J$97=$B23),(Colles!$B$2:$B$97))&gt;0,sumproduct((Colles!$A$2:$A$97=$A23),(Colles!J$2:J$97=$B23),(Colles!$B$2:$B$97)),"")</f>
        <v>14</v>
      </c>
      <c r="O23" s="31">
        <f>if(sumproduct((Colles!$A$2:$A$97=$A23),(Colles!K$2:K$97=$B23),(Colles!$B$2:$B$97))&gt;0,sumproduct((Colles!$A$2:$A$97=$A23),(Colles!K$2:K$97=$B23),(Colles!$B$2:$B$97)),"")</f>
        <v>3</v>
      </c>
      <c r="P23" s="122">
        <f>if(sumproduct((Colles!$A$2:$A$97=$A23),(Colles!L$2:L$97=$B23),(Colles!$B$2:$B$97))&gt;0,sumproduct((Colles!$A$2:$A$97=$A23),(Colles!L$2:L$97=$B23),(Colles!$B$2:$B$97)),"")</f>
        <v>12</v>
      </c>
      <c r="Q23" s="31">
        <f>if(sumproduct((Colles!$A$2:$A$97=$A23),(Colles!M$2:M$97=$B23),(Colles!$B$2:$B$97))&gt;0,sumproduct((Colles!$A$2:$A$97=$A23),(Colles!M$2:M$97=$B23),(Colles!$B$2:$B$97)),"")</f>
        <v>7</v>
      </c>
      <c r="R23" s="122">
        <f>if(sumproduct((Colles!$A$2:$A$97=$A23),(Colles!N$2:N$97=$B23),(Colles!$B$2:$B$97))&gt;0,sumproduct((Colles!$A$2:$A$97=$A23),(Colles!N$2:N$97=$B23),(Colles!$B$2:$B$97)),"")</f>
        <v>16</v>
      </c>
      <c r="S23" s="31">
        <f>if(sumproduct((Colles!$A$2:$A$97=$A23),(Colles!O$2:O$97=$B23),(Colles!$B$2:$B$97))&gt;0,sumproduct((Colles!$A$2:$A$97=$A23),(Colles!O$2:O$97=$B23),(Colles!$B$2:$B$97)),"")</f>
        <v>5</v>
      </c>
      <c r="T23" s="32"/>
      <c r="U23" s="32" t="str">
        <f>if(sumproduct((Colles!$A$2:$A$97=$A23),(Colles!Q$2:Q$97=$B23),(Colles!$B$2:$B$97))&gt;0,sumproduct((Colles!$A$2:$A$97=$A23),(Colles!Q$2:Q$97=$B23),(Colles!$B$2:$B$97)),"")</f>
        <v/>
      </c>
      <c r="V23" s="122">
        <f>if(sumproduct((Colles!$A$2:$A$97=$A23),(Colles!R$2:R$97=$B23),(Colles!$B$2:$B$97))&gt;0,sumproduct((Colles!$A$2:$A$97=$A23),(Colles!R$2:R$97=$B23),(Colles!$B$2:$B$97)),"")</f>
        <v>8</v>
      </c>
      <c r="W23" s="31">
        <f>if(sumproduct((Colles!$A$2:$A$97=$A23),(Colles!S$2:S$97=$B23),(Colles!$B$2:$B$97))&gt;0,sumproduct((Colles!$A$2:$A$97=$A23),(Colles!S$2:S$97=$B23),(Colles!$B$2:$B$97)),"")</f>
        <v>13</v>
      </c>
      <c r="Y23" s="6">
        <f t="shared" si="13"/>
        <v>1</v>
      </c>
      <c r="Z23" s="137" t="str">
        <f t="array" ref="Z23">IF(ISERROR(ADDRESS(SUMPRODUCT('Trinômes'!$B$2:$B$48=Y23,'Trinômes'!$C$2:$C$48=COUNTIF(Y$21:Y23,"="&amp;Y23)-1
,ROW('Trinômes'!$A$2:$A$48)),COLUMN('Trinômes'!$A$1)-COLUMN('Trinômes'!$A$1)+1)),"",indirect("Trinômes!"&amp;ADDRESS(SUMPRODUCT('Trinômes'!$B$2:$B$48=Y23,'Trinômes'!$C$2:$C$48=COUNTIF(Y$21:Y23,"="&amp;Y23)-1
,ROW('Trinômes'!$A$2:$A$48)),COLUMN('Trinômes'!$A$1)-COLUMN('Trinômes'!$A$1)+1)))</f>
        <v>ALEXANDRE Romeo</v>
      </c>
      <c r="AA23" s="6">
        <f t="shared" si="14"/>
        <v>2</v>
      </c>
      <c r="AB23" s="137" t="str">
        <f t="array" ref="AB23">IF(ISERROR(ADDRESS(SUMPRODUCT('Trinômes'!$B$2:$B$48=AA23,'Trinômes'!$C$2:$C$48=COUNTIF(AA$21:AA23,"="&amp;AA23)-1
,ROW('Trinômes'!$A$2:$A$48)),COLUMN('Trinômes'!$A$1)-COLUMN('Trinômes'!$A$1)+1)),"",indirect("Trinômes!"&amp;ADDRESS(SUMPRODUCT('Trinômes'!$B$2:$B$48=AA23,'Trinômes'!$C$2:$C$48=COUNTIF(AA$21:AA23,"="&amp;AA23)-1
,ROW('Trinômes'!$A$2:$A$48)),COLUMN('Trinômes'!$A$1)-COLUMN('Trinômes'!$A$1)+1)))</f>
        <v>BOURDIER Alexandre</v>
      </c>
    </row>
    <row r="24">
      <c r="A24" s="4" t="str">
        <f>'Créneaux'!I7</f>
        <v>Mathématiques</v>
      </c>
      <c r="B24" s="60">
        <f>'Créneaux'!J7</f>
        <v>6</v>
      </c>
      <c r="C24" s="121" t="str">
        <f>'Créneaux'!K7</f>
        <v>Mme Peyrelevade</v>
      </c>
      <c r="D24" s="31" t="str">
        <f>switch('Créneaux'!L7,0,"Lundi",1,"Mardi",2,"Mercredi",3,"Jeudi",4,"Vendredi")</f>
        <v>Jeudi</v>
      </c>
      <c r="E24" s="31" t="str">
        <f>'Créneaux'!M7&amp;"h"</f>
        <v>13h</v>
      </c>
      <c r="F24" s="31" t="str">
        <f>'Créneaux'!N7</f>
        <v>K22</v>
      </c>
      <c r="G24" s="32" t="str">
        <f>if(sumproduct((Colles!$A$2:$A$97=$A24),(Colles!C$2:C$97=$B24),(Colles!$B$2:$B$97))&gt;0,sumproduct((Colles!$A$2:$A$97=$A24),(Colles!C$2:C$97=$B24),(Colles!$B$2:$B$97)),"")</f>
        <v/>
      </c>
      <c r="H24" s="31">
        <f>if(sumproduct((Colles!$A$2:$A$97=$A24),(Colles!D$2:D$97=$B24),(Colles!$B$2:$B$97))&gt;0,sumproduct((Colles!$A$2:$A$97=$A24),(Colles!D$2:D$97=$B24),(Colles!$B$2:$B$97)),"")</f>
        <v>9</v>
      </c>
      <c r="I24" s="122">
        <f>if(sumproduct((Colles!$A$2:$A$97=$A24),(Colles!E$2:E$97=$B24),(Colles!$B$2:$B$97))&gt;0,sumproduct((Colles!$A$2:$A$97=$A24),(Colles!E$2:E$97=$B24),(Colles!$B$2:$B$97)),"")</f>
        <v>2</v>
      </c>
      <c r="J24" s="31">
        <f>if(sumproduct((Colles!$A$2:$A$97=$A24),(Colles!F$2:F$97=$B24),(Colles!$B$2:$B$97))&gt;0,sumproduct((Colles!$A$2:$A$97=$A24),(Colles!F$2:F$97=$B24),(Colles!$B$2:$B$97)),"")</f>
        <v>15</v>
      </c>
      <c r="K24" s="122">
        <f>if(sumproduct((Colles!$A$2:$A$97=$A24),(Colles!G$2:G$97=$B24),(Colles!$B$2:$B$97))&gt;0,sumproduct((Colles!$A$2:$A$97=$A24),(Colles!G$2:G$97=$B24),(Colles!$B$2:$B$97)),"")</f>
        <v>4</v>
      </c>
      <c r="L24" s="32"/>
      <c r="M24" s="31">
        <f>if(sumproduct((Colles!$A$2:$A$97=$A24),(Colles!I$2:I$97=$B24),(Colles!$B$2:$B$97))&gt;0,sumproduct((Colles!$A$2:$A$97=$A24),(Colles!I$2:I$97=$B24),(Colles!$B$2:$B$97)),"")</f>
        <v>7</v>
      </c>
      <c r="N24" s="122">
        <f>if(sumproduct((Colles!$A$2:$A$97=$A24),(Colles!J$2:J$97=$B24),(Colles!$B$2:$B$97))&gt;0,sumproduct((Colles!$A$2:$A$97=$A24),(Colles!J$2:J$97=$B24),(Colles!$B$2:$B$97)),"")</f>
        <v>6</v>
      </c>
      <c r="O24" s="31">
        <f>if(sumproduct((Colles!$A$2:$A$97=$A24),(Colles!K$2:K$97=$B24),(Colles!$B$2:$B$97))&gt;0,sumproduct((Colles!$A$2:$A$97=$A24),(Colles!K$2:K$97=$B24),(Colles!$B$2:$B$97)),"")</f>
        <v>15</v>
      </c>
      <c r="P24" s="122">
        <f>if(sumproduct((Colles!$A$2:$A$97=$A24),(Colles!L$2:L$97=$B24),(Colles!$B$2:$B$97))&gt;0,sumproduct((Colles!$A$2:$A$97=$A24),(Colles!L$2:L$97=$B24),(Colles!$B$2:$B$97)),"")</f>
        <v>8</v>
      </c>
      <c r="Q24" s="31">
        <f>if(sumproduct((Colles!$A$2:$A$97=$A24),(Colles!M$2:M$97=$B24),(Colles!$B$2:$B$97))&gt;0,sumproduct((Colles!$A$2:$A$97=$A24),(Colles!M$2:M$97=$B24),(Colles!$B$2:$B$97)),"")</f>
        <v>9</v>
      </c>
      <c r="R24" s="122">
        <f>if(sumproduct((Colles!$A$2:$A$97=$A24),(Colles!N$2:N$97=$B24),(Colles!$B$2:$B$97))&gt;0,sumproduct((Colles!$A$2:$A$97=$A24),(Colles!N$2:N$97=$B24),(Colles!$B$2:$B$97)),"")</f>
        <v>2</v>
      </c>
      <c r="S24" s="31">
        <f>if(sumproduct((Colles!$A$2:$A$97=$A24),(Colles!O$2:O$97=$B24),(Colles!$B$2:$B$97))&gt;0,sumproduct((Colles!$A$2:$A$97=$A24),(Colles!O$2:O$97=$B24),(Colles!$B$2:$B$97)),"")</f>
        <v>15</v>
      </c>
      <c r="T24" s="32"/>
      <c r="U24" s="32" t="str">
        <f>if(sumproduct((Colles!$A$2:$A$97=$A24),(Colles!Q$2:Q$97=$B24),(Colles!$B$2:$B$97))&gt;0,sumproduct((Colles!$A$2:$A$97=$A24),(Colles!Q$2:Q$97=$B24),(Colles!$B$2:$B$97)),"")</f>
        <v/>
      </c>
      <c r="V24" s="122">
        <f>if(sumproduct((Colles!$A$2:$A$97=$A24),(Colles!R$2:R$97=$B24),(Colles!$B$2:$B$97))&gt;0,sumproduct((Colles!$A$2:$A$97=$A24),(Colles!R$2:R$97=$B24),(Colles!$B$2:$B$97)),"")</f>
        <v>14</v>
      </c>
      <c r="W24" s="31">
        <f>if(sumproduct((Colles!$A$2:$A$97=$A24),(Colles!S$2:S$97=$B24),(Colles!$B$2:$B$97))&gt;0,sumproduct((Colles!$A$2:$A$97=$A24),(Colles!S$2:S$97=$B24),(Colles!$B$2:$B$97)),"")</f>
        <v>7</v>
      </c>
      <c r="Y24" s="6">
        <f t="shared" si="13"/>
        <v>1</v>
      </c>
      <c r="Z24" s="137" t="str">
        <f t="array" ref="Z24">IF(ISERROR(ADDRESS(SUMPRODUCT('Trinômes'!$B$2:$B$48=Y24,'Trinômes'!$C$2:$C$48=COUNTIF(Y$21:Y24,"="&amp;Y24)-1
,ROW('Trinômes'!$A$2:$A$48)),COLUMN('Trinômes'!$A$1)-COLUMN('Trinômes'!$A$1)+1)),"",indirect("Trinômes!"&amp;ADDRESS(SUMPRODUCT('Trinômes'!$B$2:$B$48=Y24,'Trinômes'!$C$2:$C$48=COUNTIF(Y$21:Y24,"="&amp;Y24)-1
,ROW('Trinômes'!$A$2:$A$48)),COLUMN('Trinômes'!$A$1)-COLUMN('Trinômes'!$A$1)+1)))</f>
        <v>BIGATI Jules</v>
      </c>
      <c r="AA24" s="6">
        <f t="shared" si="14"/>
        <v>2</v>
      </c>
      <c r="AB24" s="137" t="str">
        <f t="array" ref="AB24">IF(ISERROR(ADDRESS(SUMPRODUCT('Trinômes'!$B$2:$B$48=AA24,'Trinômes'!$C$2:$C$48=COUNTIF(AA$21:AA24,"="&amp;AA24)-1
,ROW('Trinômes'!$A$2:$A$48)),COLUMN('Trinômes'!$A$1)-COLUMN('Trinômes'!$A$1)+1)),"",indirect("Trinômes!"&amp;ADDRESS(SUMPRODUCT('Trinômes'!$B$2:$B$48=AA24,'Trinômes'!$C$2:$C$48=COUNTIF(AA$21:AA24,"="&amp;AA24)-1
,ROW('Trinômes'!$A$2:$A$48)),COLUMN('Trinômes'!$A$1)-COLUMN('Trinômes'!$A$1)+1)))</f>
        <v>BROWNE Nora</v>
      </c>
    </row>
    <row r="25">
      <c r="A25" s="4" t="str">
        <f>'Créneaux'!I8</f>
        <v>Mathématiques</v>
      </c>
      <c r="B25" s="60">
        <f>'Créneaux'!J8</f>
        <v>7</v>
      </c>
      <c r="C25" s="121" t="str">
        <f>'Créneaux'!K8</f>
        <v>Mme Royer</v>
      </c>
      <c r="D25" s="31" t="str">
        <f>switch('Créneaux'!L8,0,"Lundi",1,"Mardi",2,"Mercredi",3,"Jeudi",4,"Vendredi")</f>
        <v>Jeudi</v>
      </c>
      <c r="E25" s="31" t="str">
        <f>'Créneaux'!M8&amp;"h"</f>
        <v>17h</v>
      </c>
      <c r="F25" s="31" t="str">
        <f>'Créneaux'!N8</f>
        <v>Prépa 22</v>
      </c>
      <c r="G25" s="32" t="str">
        <f>if(sumproduct((Colles!$A$2:$A$97=$A25),(Colles!C$2:C$97=$B25),(Colles!$B$2:$B$97))&gt;0,sumproduct((Colles!$A$2:$A$97=$A25),(Colles!C$2:C$97=$B25),(Colles!$B$2:$B$97)),"")</f>
        <v/>
      </c>
      <c r="H25" s="31">
        <f>if(sumproduct((Colles!$A$2:$A$97=$A25),(Colles!D$2:D$97=$B25),(Colles!$B$2:$B$97))&gt;0,sumproduct((Colles!$A$2:$A$97=$A25),(Colles!D$2:D$97=$B25),(Colles!$B$2:$B$97)),"")</f>
        <v>13</v>
      </c>
      <c r="I25" s="122">
        <f>if(sumproduct((Colles!$A$2:$A$97=$A25),(Colles!E$2:E$97=$B25),(Colles!$B$2:$B$97))&gt;0,sumproduct((Colles!$A$2:$A$97=$A25),(Colles!E$2:E$97=$B25),(Colles!$B$2:$B$97)),"")</f>
        <v>8</v>
      </c>
      <c r="J25" s="31">
        <f>if(sumproduct((Colles!$A$2:$A$97=$A25),(Colles!F$2:F$97=$B25),(Colles!$B$2:$B$97))&gt;0,sumproduct((Colles!$A$2:$A$97=$A25),(Colles!F$2:F$97=$B25),(Colles!$B$2:$B$97)),"")</f>
        <v>11</v>
      </c>
      <c r="K25" s="122">
        <f>if(sumproduct((Colles!$A$2:$A$97=$A25),(Colles!G$2:G$97=$B25),(Colles!$B$2:$B$97))&gt;0,sumproduct((Colles!$A$2:$A$97=$A25),(Colles!G$2:G$97=$B25),(Colles!$B$2:$B$97)),"")</f>
        <v>2</v>
      </c>
      <c r="L25" s="32"/>
      <c r="M25" s="31">
        <f>if(sumproduct((Colles!$A$2:$A$97=$A25),(Colles!I$2:I$97=$B25),(Colles!$B$2:$B$97))&gt;0,sumproduct((Colles!$A$2:$A$97=$A25),(Colles!I$2:I$97=$B25),(Colles!$B$2:$B$97)),"")</f>
        <v>9</v>
      </c>
      <c r="N25" s="122">
        <f>if(sumproduct((Colles!$A$2:$A$97=$A25),(Colles!J$2:J$97=$B25),(Colles!$B$2:$B$97))&gt;0,sumproduct((Colles!$A$2:$A$97=$A25),(Colles!J$2:J$97=$B25),(Colles!$B$2:$B$97)),"")</f>
        <v>4</v>
      </c>
      <c r="O25" s="31">
        <f>if(sumproduct((Colles!$A$2:$A$97=$A25),(Colles!K$2:K$97=$B25),(Colles!$B$2:$B$97))&gt;0,sumproduct((Colles!$A$2:$A$97=$A25),(Colles!K$2:K$97=$B25),(Colles!$B$2:$B$97)),"")</f>
        <v>11</v>
      </c>
      <c r="P25" s="122">
        <f>if(sumproduct((Colles!$A$2:$A$97=$A25),(Colles!L$2:L$97=$B25),(Colles!$B$2:$B$97))&gt;0,sumproduct((Colles!$A$2:$A$97=$A25),(Colles!L$2:L$97=$B25),(Colles!$B$2:$B$97)),"")</f>
        <v>6</v>
      </c>
      <c r="Q25" s="31">
        <f>if(sumproduct((Colles!$A$2:$A$97=$A25),(Colles!M$2:M$97=$B25),(Colles!$B$2:$B$97))&gt;0,sumproduct((Colles!$A$2:$A$97=$A25),(Colles!M$2:M$97=$B25),(Colles!$B$2:$B$97)),"")</f>
        <v>13</v>
      </c>
      <c r="R25" s="122">
        <f>if(sumproduct((Colles!$A$2:$A$97=$A25),(Colles!N$2:N$97=$B25),(Colles!$B$2:$B$97))&gt;0,sumproduct((Colles!$A$2:$A$97=$A25),(Colles!N$2:N$97=$B25),(Colles!$B$2:$B$97)),"")</f>
        <v>8</v>
      </c>
      <c r="S25" s="31">
        <f>if(sumproduct((Colles!$A$2:$A$97=$A25),(Colles!O$2:O$97=$B25),(Colles!$B$2:$B$97))&gt;0,sumproduct((Colles!$A$2:$A$97=$A25),(Colles!O$2:O$97=$B25),(Colles!$B$2:$B$97)),"")</f>
        <v>11</v>
      </c>
      <c r="T25" s="32"/>
      <c r="U25" s="32" t="str">
        <f>if(sumproduct((Colles!$A$2:$A$97=$A25),(Colles!Q$2:Q$97=$B25),(Colles!$B$2:$B$97))&gt;0,sumproduct((Colles!$A$2:$A$97=$A25),(Colles!Q$2:Q$97=$B25),(Colles!$B$2:$B$97)),"")</f>
        <v/>
      </c>
      <c r="V25" s="122">
        <f>if(sumproduct((Colles!$A$2:$A$97=$A25),(Colles!R$2:R$97=$B25),(Colles!$B$2:$B$97))&gt;0,sumproduct((Colles!$A$2:$A$97=$A25),(Colles!R$2:R$97=$B25),(Colles!$B$2:$B$97)),"")</f>
        <v>12</v>
      </c>
      <c r="W25" s="31">
        <f>if(sumproduct((Colles!$A$2:$A$97=$A25),(Colles!S$2:S$97=$B25),(Colles!$B$2:$B$97))&gt;0,sumproduct((Colles!$A$2:$A$97=$A25),(Colles!S$2:S$97=$B25),(Colles!$B$2:$B$97)),"")</f>
        <v>5</v>
      </c>
      <c r="Y25" s="6">
        <f t="shared" si="13"/>
        <v>1</v>
      </c>
      <c r="Z25" s="6"/>
      <c r="AA25" s="6">
        <f t="shared" si="14"/>
        <v>2</v>
      </c>
      <c r="AB25" s="6"/>
    </row>
    <row r="26">
      <c r="A26" s="4" t="str">
        <f>'Créneaux'!I9</f>
        <v>Mathématiques</v>
      </c>
      <c r="B26" s="60">
        <f>'Créneaux'!J9</f>
        <v>8</v>
      </c>
      <c r="C26" s="121" t="str">
        <f>'Créneaux'!K9</f>
        <v>Mme Royer</v>
      </c>
      <c r="D26" s="31" t="str">
        <f>switch('Créneaux'!L9,0,"Lundi",1,"Mardi",2,"Mercredi",3,"Jeudi",4,"Vendredi")</f>
        <v>Jeudi</v>
      </c>
      <c r="E26" s="31" t="str">
        <f>'Créneaux'!M9&amp;"h"</f>
        <v>18h</v>
      </c>
      <c r="F26" s="31" t="str">
        <f>'Créneaux'!N9</f>
        <v>Prépa 22</v>
      </c>
      <c r="G26" s="32" t="str">
        <f>if(sumproduct((Colles!$A$2:$A$97=$A26),(Colles!C$2:C$97=$B26),(Colles!$B$2:$B$97))&gt;0,sumproduct((Colles!$A$2:$A$97=$A26),(Colles!C$2:C$97=$B26),(Colles!$B$2:$B$97)),"")</f>
        <v/>
      </c>
      <c r="H26" s="31">
        <f>if(sumproduct((Colles!$A$2:$A$97=$A26),(Colles!D$2:D$97=$B26),(Colles!$B$2:$B$97))&gt;0,sumproduct((Colles!$A$2:$A$97=$A26),(Colles!D$2:D$97=$B26),(Colles!$B$2:$B$97)),"")</f>
        <v>5</v>
      </c>
      <c r="I26" s="122">
        <f>if(sumproduct((Colles!$A$2:$A$97=$A26),(Colles!E$2:E$97=$B26),(Colles!$B$2:$B$97))&gt;0,sumproduct((Colles!$A$2:$A$97=$A26),(Colles!E$2:E$97=$B26),(Colles!$B$2:$B$97)),"")</f>
        <v>12</v>
      </c>
      <c r="J26" s="31">
        <f>if(sumproduct((Colles!$A$2:$A$97=$A26),(Colles!F$2:F$97=$B26),(Colles!$B$2:$B$97))&gt;0,sumproduct((Colles!$A$2:$A$97=$A26),(Colles!F$2:F$97=$B26),(Colles!$B$2:$B$97)),"")</f>
        <v>1</v>
      </c>
      <c r="K26" s="122">
        <f>if(sumproduct((Colles!$A$2:$A$97=$A26),(Colles!G$2:G$97=$B26),(Colles!$B$2:$B$97))&gt;0,sumproduct((Colles!$A$2:$A$97=$A26),(Colles!G$2:G$97=$B26),(Colles!$B$2:$B$97)),"")</f>
        <v>14</v>
      </c>
      <c r="L26" s="32"/>
      <c r="M26" s="31">
        <f>if(sumproduct((Colles!$A$2:$A$97=$A26),(Colles!I$2:I$97=$B26),(Colles!$B$2:$B$97))&gt;0,sumproduct((Colles!$A$2:$A$97=$A26),(Colles!I$2:I$97=$B26),(Colles!$B$2:$B$97)),"")</f>
        <v>3</v>
      </c>
      <c r="N26" s="122">
        <f>if(sumproduct((Colles!$A$2:$A$97=$A26),(Colles!J$2:J$97=$B26),(Colles!$B$2:$B$97))&gt;0,sumproduct((Colles!$A$2:$A$97=$A26),(Colles!J$2:J$97=$B26),(Colles!$B$2:$B$97)),"")</f>
        <v>12</v>
      </c>
      <c r="O26" s="31">
        <f>if(sumproduct((Colles!$A$2:$A$97=$A26),(Colles!K$2:K$97=$B26),(Colles!$B$2:$B$97))&gt;0,sumproduct((Colles!$A$2:$A$97=$A26),(Colles!K$2:K$97=$B26),(Colles!$B$2:$B$97)),"")</f>
        <v>1</v>
      </c>
      <c r="P26" s="122">
        <f>if(sumproduct((Colles!$A$2:$A$97=$A26),(Colles!L$2:L$97=$B26),(Colles!$B$2:$B$97))&gt;0,sumproduct((Colles!$A$2:$A$97=$A26),(Colles!L$2:L$97=$B26),(Colles!$B$2:$B$97)),"")</f>
        <v>10</v>
      </c>
      <c r="Q26" s="31">
        <f>if(sumproduct((Colles!$A$2:$A$97=$A26),(Colles!M$2:M$97=$B26),(Colles!$B$2:$B$97))&gt;0,sumproduct((Colles!$A$2:$A$97=$A26),(Colles!M$2:M$97=$B26),(Colles!$B$2:$B$97)),"")</f>
        <v>5</v>
      </c>
      <c r="R26" s="122">
        <f>if(sumproduct((Colles!$A$2:$A$97=$A26),(Colles!N$2:N$97=$B26),(Colles!$B$2:$B$97))&gt;0,sumproduct((Colles!$A$2:$A$97=$A26),(Colles!N$2:N$97=$B26),(Colles!$B$2:$B$97)),"")</f>
        <v>12</v>
      </c>
      <c r="S26" s="31">
        <f>if(sumproduct((Colles!$A$2:$A$97=$A26),(Colles!O$2:O$97=$B26),(Colles!$B$2:$B$97))&gt;0,sumproduct((Colles!$A$2:$A$97=$A26),(Colles!O$2:O$97=$B26),(Colles!$B$2:$B$97)),"")</f>
        <v>1</v>
      </c>
      <c r="T26" s="32"/>
      <c r="U26" s="32" t="str">
        <f>if(sumproduct((Colles!$A$2:$A$97=$A26),(Colles!Q$2:Q$97=$B26),(Colles!$B$2:$B$97))&gt;0,sumproduct((Colles!$A$2:$A$97=$A26),(Colles!Q$2:Q$97=$B26),(Colles!$B$2:$B$97)),"")</f>
        <v/>
      </c>
      <c r="V26" s="122">
        <f>if(sumproduct((Colles!$A$2:$A$97=$A26),(Colles!R$2:R$97=$B26),(Colles!$B$2:$B$97))&gt;0,sumproduct((Colles!$A$2:$A$97=$A26),(Colles!R$2:R$97=$B26),(Colles!$B$2:$B$97)),"")</f>
        <v>6</v>
      </c>
      <c r="W26" s="31">
        <f>if(sumproduct((Colles!$A$2:$A$97=$A26),(Colles!S$2:S$97=$B26),(Colles!$B$2:$B$97))&gt;0,sumproduct((Colles!$A$2:$A$97=$A26),(Colles!S$2:S$97=$B26),(Colles!$B$2:$B$97)),"")</f>
        <v>11</v>
      </c>
      <c r="Y26" s="6">
        <f>AA21+1</f>
        <v>3</v>
      </c>
      <c r="Z26" s="134" t="str">
        <f>Y26&amp;IF(SUMPRODUCT('Trinômes'!$A$2:$A$48=Z27,'Trinômes'!$D$2:$D$48&lt;&gt;0)+SUMPRODUCT('Trinômes'!$A$2:$A$48=Z28,'Trinômes'!$D$2:$D$48&lt;&gt;0)+SUMPRODUCT('Trinômes'!$A$2:$A$48=Z29,'Trinômes'!$D$2:$D$48&lt;&gt;0)&gt;0," – LV2","")</f>
        <v>3</v>
      </c>
      <c r="AA26" s="135">
        <f>Y26+1</f>
        <v>4</v>
      </c>
      <c r="AB26" s="136" t="str">
        <f>AA26&amp;IF(SUMPRODUCT('Trinômes'!$A$2:$A$48=AB27,'Trinômes'!$D$2:$D$48&lt;&gt;0)+SUMPRODUCT('Trinômes'!$A$2:$A$48=AB28,'Trinômes'!$D$2:$D$48&lt;&gt;0)+SUMPRODUCT('Trinômes'!$A$2:$A$48=AB29,'Trinômes'!$D$2:$D$48&lt;&gt;0)&gt;0," – LV2","")</f>
        <v>4</v>
      </c>
    </row>
    <row r="27">
      <c r="A27" s="4"/>
      <c r="C27" s="138" t="str">
        <f>A28</f>
        <v>Anglais</v>
      </c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Y27" s="6">
        <f t="shared" ref="Y27:Y30" si="15">Y26</f>
        <v>3</v>
      </c>
      <c r="Z27" s="137" t="str">
        <f t="array" ref="Z27">IF(ISERROR(ADDRESS(SUMPRODUCT('Trinômes'!$B$2:$B$48=Y27,'Trinômes'!$C$2:$C$48=COUNTIF(Y$21:Y27,"="&amp;Y27)-1
,ROW('Trinômes'!$A$2:$A$48)),COLUMN('Trinômes'!$A$1)-COLUMN('Trinômes'!$A$1)+1)),"",indirect("Trinômes!"&amp;ADDRESS(SUMPRODUCT('Trinômes'!$B$2:$B$48=Y27,'Trinômes'!$C$2:$C$48=COUNTIF(Y$21:Y27,"="&amp;Y27)-1
,ROW('Trinômes'!$A$2:$A$48)),COLUMN('Trinômes'!$A$1)-COLUMN('Trinômes'!$A$1)+1)))</f>
        <v>BUGEA--GENOVESE Gaëtan</v>
      </c>
      <c r="AA27" s="6">
        <f t="shared" ref="AA27:AA30" si="16">AA26</f>
        <v>4</v>
      </c>
      <c r="AB27" s="137" t="str">
        <f t="array" ref="AB27">IF(ISERROR(ADDRESS(SUMPRODUCT('Trinômes'!$B$2:$B$48=AA27,'Trinômes'!$C$2:$C$48=COUNTIF(AA$21:AA27,"="&amp;AA27)-1
,ROW('Trinômes'!$A$2:$A$48)),COLUMN('Trinômes'!$A$1)-COLUMN('Trinômes'!$A$1)+1)),"",indirect("Trinômes!"&amp;ADDRESS(SUMPRODUCT('Trinômes'!$B$2:$B$48=AA27,'Trinômes'!$C$2:$C$48=COUNTIF(AA$21:AA27,"="&amp;AA27)-1
,ROW('Trinômes'!$A$2:$A$48)),COLUMN('Trinômes'!$A$1)-COLUMN('Trinômes'!$A$1)+1)))</f>
        <v>CASTAGNER Hugo</v>
      </c>
    </row>
    <row r="28">
      <c r="A28" s="4" t="str">
        <f>'Créneaux'!I10</f>
        <v>Anglais</v>
      </c>
      <c r="B28" s="60">
        <f>'Créneaux'!J10</f>
        <v>1</v>
      </c>
      <c r="C28" s="121" t="str">
        <f>'Créneaux'!K10</f>
        <v>Mme Calvin</v>
      </c>
      <c r="D28" s="31" t="str">
        <f>switch('Créneaux'!L10,0,"Lundi",1,"Mardi",2,"Mercredi",3,"Jeudi",4,"Vendredi")</f>
        <v>Lundi</v>
      </c>
      <c r="E28" s="31" t="str">
        <f>'Créneaux'!M10&amp;"h"</f>
        <v>16h</v>
      </c>
      <c r="F28" s="31" t="str">
        <f>'Créneaux'!N10</f>
        <v>Prépa 14</v>
      </c>
      <c r="G28" s="32" t="str">
        <f>if(sumproduct((Colles!$A$2:$A$97=$A28),(Colles!C$2:C$97=$B28),(Colles!$B$2:$B$97))&gt;0,sumproduct((Colles!$A$2:$A$97=$A28),(Colles!C$2:C$97=$B28),(Colles!$B$2:$B$97)),"")</f>
        <v/>
      </c>
      <c r="H28" s="31">
        <f>if(sumproduct((Colles!$A$2:$A$97=$A28),(Colles!D$2:D$97=$B28),(Colles!$B$2:$B$97))&gt;0,sumproduct((Colles!$A$2:$A$97=$A28),(Colles!D$2:D$97=$B28),(Colles!$B$2:$B$97)),"")</f>
        <v>9</v>
      </c>
      <c r="I28" s="122">
        <f>if(sumproduct((Colles!$A$2:$A$97=$A28),(Colles!E$2:E$97=$B28),(Colles!$B$2:$B$97))&gt;0,sumproduct((Colles!$A$2:$A$97=$A28),(Colles!E$2:E$97=$B28),(Colles!$B$2:$B$97)),"")</f>
        <v>2</v>
      </c>
      <c r="J28" s="31">
        <f>if(sumproduct((Colles!$A$2:$A$97=$A28),(Colles!F$2:F$97=$B28),(Colles!$B$2:$B$97))&gt;0,sumproduct((Colles!$A$2:$A$97=$A28),(Colles!F$2:F$97=$B28),(Colles!$B$2:$B$97)),"")</f>
        <v>15</v>
      </c>
      <c r="K28" s="122">
        <f>if(sumproduct((Colles!$A$2:$A$97=$A28),(Colles!G$2:G$97=$B28),(Colles!$B$2:$B$97))&gt;0,sumproduct((Colles!$A$2:$A$97=$A28),(Colles!G$2:G$97=$B28),(Colles!$B$2:$B$97)),"")</f>
        <v>4</v>
      </c>
      <c r="L28" s="32"/>
      <c r="M28" s="31">
        <f>if(sumproduct((Colles!$A$2:$A$97=$A28),(Colles!I$2:I$97=$B28),(Colles!$B$2:$B$97))&gt;0,sumproduct((Colles!$A$2:$A$97=$A28),(Colles!I$2:I$97=$B28),(Colles!$B$2:$B$97)),"")</f>
        <v>7</v>
      </c>
      <c r="N28" s="122">
        <f>if(sumproduct((Colles!$A$2:$A$97=$A28),(Colles!J$2:J$97=$B28),(Colles!$B$2:$B$97))&gt;0,sumproduct((Colles!$A$2:$A$97=$A28),(Colles!J$2:J$97=$B28),(Colles!$B$2:$B$97)),"")</f>
        <v>6</v>
      </c>
      <c r="O28" s="31">
        <f>if(sumproduct((Colles!$A$2:$A$97=$A28),(Colles!K$2:K$97=$B28),(Colles!$B$2:$B$97))&gt;0,sumproduct((Colles!$A$2:$A$97=$A28),(Colles!K$2:K$97=$B28),(Colles!$B$2:$B$97)),"")</f>
        <v>15</v>
      </c>
      <c r="P28" s="122">
        <f>if(sumproduct((Colles!$A$2:$A$97=$A28),(Colles!L$2:L$97=$B28),(Colles!$B$2:$B$97))&gt;0,sumproduct((Colles!$A$2:$A$97=$A28),(Colles!L$2:L$97=$B28),(Colles!$B$2:$B$97)),"")</f>
        <v>8</v>
      </c>
      <c r="Q28" s="31">
        <f>if(sumproduct((Colles!$A$2:$A$97=$A28),(Colles!M$2:M$97=$B28),(Colles!$B$2:$B$97))&gt;0,sumproduct((Colles!$A$2:$A$97=$A28),(Colles!M$2:M$97=$B28),(Colles!$B$2:$B$97)),"")</f>
        <v>9</v>
      </c>
      <c r="R28" s="122">
        <f>if(sumproduct((Colles!$A$2:$A$97=$A28),(Colles!N$2:N$97=$B28),(Colles!$B$2:$B$97))&gt;0,sumproduct((Colles!$A$2:$A$97=$A28),(Colles!N$2:N$97=$B28),(Colles!$B$2:$B$97)),"")</f>
        <v>2</v>
      </c>
      <c r="S28" s="31">
        <f>if(sumproduct((Colles!$A$2:$A$97=$A28),(Colles!O$2:O$97=$B28),(Colles!$B$2:$B$97))&gt;0,sumproduct((Colles!$A$2:$A$97=$A28),(Colles!O$2:O$97=$B28),(Colles!$B$2:$B$97)),"")</f>
        <v>15</v>
      </c>
      <c r="T28" s="32"/>
      <c r="U28" s="32" t="str">
        <f>if(sumproduct((Colles!$A$2:$A$97=$A28),(Colles!Q$2:Q$97=$B28),(Colles!$B$2:$B$97))&gt;0,sumproduct((Colles!$A$2:$A$97=$A28),(Colles!Q$2:Q$97=$B28),(Colles!$B$2:$B$97)),"")</f>
        <v/>
      </c>
      <c r="V28" s="122">
        <f>if(sumproduct((Colles!$A$2:$A$97=$A28),(Colles!R$2:R$97=$B28),(Colles!$B$2:$B$97))&gt;0,sumproduct((Colles!$A$2:$A$97=$A28),(Colles!R$2:R$97=$B28),(Colles!$B$2:$B$97)),"")</f>
        <v>14</v>
      </c>
      <c r="W28" s="31">
        <f>if(sumproduct((Colles!$A$2:$A$97=$A28),(Colles!S$2:S$97=$B28),(Colles!$B$2:$B$97))&gt;0,sumproduct((Colles!$A$2:$A$97=$A28),(Colles!S$2:S$97=$B28),(Colles!$B$2:$B$97)),"")</f>
        <v>7</v>
      </c>
      <c r="Y28" s="6">
        <f t="shared" si="15"/>
        <v>3</v>
      </c>
      <c r="Z28" s="137" t="str">
        <f t="array" ref="Z28">IF(ISERROR(ADDRESS(SUMPRODUCT('Trinômes'!$B$2:$B$48=Y28,'Trinômes'!$C$2:$C$48=COUNTIF(Y$21:Y28,"="&amp;Y28)-1
,ROW('Trinômes'!$A$2:$A$48)),COLUMN('Trinômes'!$A$1)-COLUMN('Trinômes'!$A$1)+1)),"",indirect("Trinômes!"&amp;ADDRESS(SUMPRODUCT('Trinômes'!$B$2:$B$48=Y28,'Trinômes'!$C$2:$C$48=COUNTIF(Y$21:Y28,"="&amp;Y28)-1
,ROW('Trinômes'!$A$2:$A$48)),COLUMN('Trinômes'!$A$1)-COLUMN('Trinômes'!$A$1)+1)))</f>
        <v>CALISTI Ange</v>
      </c>
      <c r="AA28" s="6">
        <f t="shared" si="16"/>
        <v>4</v>
      </c>
      <c r="AB28" s="137" t="str">
        <f t="array" ref="AB28">IF(ISERROR(ADDRESS(SUMPRODUCT('Trinômes'!$B$2:$B$48=AA28,'Trinômes'!$C$2:$C$48=COUNTIF(AA$21:AA28,"="&amp;AA28)-1
,ROW('Trinômes'!$A$2:$A$48)),COLUMN('Trinômes'!$A$1)-COLUMN('Trinômes'!$A$1)+1)),"",indirect("Trinômes!"&amp;ADDRESS(SUMPRODUCT('Trinômes'!$B$2:$B$48=AA28,'Trinômes'!$C$2:$C$48=COUNTIF(AA$21:AA28,"="&amp;AA28)-1
,ROW('Trinômes'!$A$2:$A$48)),COLUMN('Trinômes'!$A$1)-COLUMN('Trinômes'!$A$1)+1)))</f>
        <v>CATHALA Andrea</v>
      </c>
    </row>
    <row r="29">
      <c r="A29" s="4" t="str">
        <f>'Créneaux'!I11</f>
        <v>Anglais</v>
      </c>
      <c r="B29" s="60">
        <f>'Créneaux'!J11</f>
        <v>2</v>
      </c>
      <c r="C29" s="121" t="str">
        <f>'Créneaux'!K11</f>
        <v>Mme Calvin</v>
      </c>
      <c r="D29" s="31" t="str">
        <f>switch('Créneaux'!L11,0,"Lundi",1,"Mardi",2,"Mercredi",3,"Jeudi",4,"Vendredi")</f>
        <v>Mercredi</v>
      </c>
      <c r="E29" s="31" t="str">
        <f>'Créneaux'!M11&amp;"h"</f>
        <v>15h</v>
      </c>
      <c r="F29" s="31" t="str">
        <f>'Créneaux'!N11</f>
        <v>K25</v>
      </c>
      <c r="G29" s="32" t="str">
        <f>if(sumproduct((Colles!$A$2:$A$97=$A29),(Colles!C$2:C$97=$B29),(Colles!$B$2:$B$97))&gt;0,sumproduct((Colles!$A$2:$A$97=$A29),(Colles!C$2:C$97=$B29),(Colles!$B$2:$B$97)),"")</f>
        <v/>
      </c>
      <c r="H29" s="31">
        <f>if(sumproduct((Colles!$A$2:$A$97=$A29),(Colles!D$2:D$97=$B29),(Colles!$B$2:$B$97))&gt;0,sumproduct((Colles!$A$2:$A$97=$A29),(Colles!D$2:D$97=$B29),(Colles!$B$2:$B$97)),"")</f>
        <v>5</v>
      </c>
      <c r="I29" s="122">
        <f>if(sumproduct((Colles!$A$2:$A$97=$A29),(Colles!E$2:E$97=$B29),(Colles!$B$2:$B$97))&gt;0,sumproduct((Colles!$A$2:$A$97=$A29),(Colles!E$2:E$97=$B29),(Colles!$B$2:$B$97)),"")</f>
        <v>12</v>
      </c>
      <c r="J29" s="31">
        <f>if(sumproduct((Colles!$A$2:$A$97=$A29),(Colles!F$2:F$97=$B29),(Colles!$B$2:$B$97))&gt;0,sumproduct((Colles!$A$2:$A$97=$A29),(Colles!F$2:F$97=$B29),(Colles!$B$2:$B$97)),"")</f>
        <v>1</v>
      </c>
      <c r="K29" s="122">
        <f>if(sumproduct((Colles!$A$2:$A$97=$A29),(Colles!G$2:G$97=$B29),(Colles!$B$2:$B$97))&gt;0,sumproduct((Colles!$A$2:$A$97=$A29),(Colles!G$2:G$97=$B29),(Colles!$B$2:$B$97)),"")</f>
        <v>16</v>
      </c>
      <c r="L29" s="32"/>
      <c r="M29" s="31">
        <f>if(sumproduct((Colles!$A$2:$A$97=$A29),(Colles!I$2:I$97=$B29),(Colles!$B$2:$B$97))&gt;0,sumproduct((Colles!$A$2:$A$97=$A29),(Colles!I$2:I$97=$B29),(Colles!$B$2:$B$97)),"")</f>
        <v>3</v>
      </c>
      <c r="N29" s="122">
        <f>if(sumproduct((Colles!$A$2:$A$97=$A29),(Colles!J$2:J$97=$B29),(Colles!$B$2:$B$97))&gt;0,sumproduct((Colles!$A$2:$A$97=$A29),(Colles!J$2:J$97=$B29),(Colles!$B$2:$B$97)),"")</f>
        <v>12</v>
      </c>
      <c r="O29" s="31">
        <f>if(sumproduct((Colles!$A$2:$A$97=$A29),(Colles!K$2:K$97=$B29),(Colles!$B$2:$B$97))&gt;0,sumproduct((Colles!$A$2:$A$97=$A29),(Colles!K$2:K$97=$B29),(Colles!$B$2:$B$97)),"")</f>
        <v>1</v>
      </c>
      <c r="P29" s="122">
        <f>if(sumproduct((Colles!$A$2:$A$97=$A29),(Colles!L$2:L$97=$B29),(Colles!$B$2:$B$97))&gt;0,sumproduct((Colles!$A$2:$A$97=$A29),(Colles!L$2:L$97=$B29),(Colles!$B$2:$B$97)),"")</f>
        <v>10</v>
      </c>
      <c r="Q29" s="31">
        <f>if(sumproduct((Colles!$A$2:$A$97=$A29),(Colles!M$2:M$97=$B29),(Colles!$B$2:$B$97))&gt;0,sumproduct((Colles!$A$2:$A$97=$A29),(Colles!M$2:M$97=$B29),(Colles!$B$2:$B$97)),"")</f>
        <v>5</v>
      </c>
      <c r="R29" s="122">
        <f>if(sumproduct((Colles!$A$2:$A$97=$A29),(Colles!N$2:N$97=$B29),(Colles!$B$2:$B$97))&gt;0,sumproduct((Colles!$A$2:$A$97=$A29),(Colles!N$2:N$97=$B29),(Colles!$B$2:$B$97)),"")</f>
        <v>12</v>
      </c>
      <c r="S29" s="31">
        <f>if(sumproduct((Colles!$A$2:$A$97=$A29),(Colles!O$2:O$97=$B29),(Colles!$B$2:$B$97))&gt;0,sumproduct((Colles!$A$2:$A$97=$A29),(Colles!O$2:O$97=$B29),(Colles!$B$2:$B$97)),"")</f>
        <v>1</v>
      </c>
      <c r="T29" s="32"/>
      <c r="U29" s="32" t="str">
        <f>if(sumproduct((Colles!$A$2:$A$97=$A29),(Colles!Q$2:Q$97=$B29),(Colles!$B$2:$B$97))&gt;0,sumproduct((Colles!$A$2:$A$97=$A29),(Colles!Q$2:Q$97=$B29),(Colles!$B$2:$B$97)),"")</f>
        <v/>
      </c>
      <c r="V29" s="122">
        <f>if(sumproduct((Colles!$A$2:$A$97=$A29),(Colles!R$2:R$97=$B29),(Colles!$B$2:$B$97))&gt;0,sumproduct((Colles!$A$2:$A$97=$A29),(Colles!R$2:R$97=$B29),(Colles!$B$2:$B$97)),"")</f>
        <v>6</v>
      </c>
      <c r="W29" s="31">
        <f>if(sumproduct((Colles!$A$2:$A$97=$A29),(Colles!S$2:S$97=$B29),(Colles!$B$2:$B$97))&gt;0,sumproduct((Colles!$A$2:$A$97=$A29),(Colles!S$2:S$97=$B29),(Colles!$B$2:$B$97)),"")</f>
        <v>11</v>
      </c>
      <c r="Y29" s="6">
        <f t="shared" si="15"/>
        <v>3</v>
      </c>
      <c r="Z29" s="137" t="str">
        <f t="array" ref="Z29">IF(ISERROR(ADDRESS(SUMPRODUCT('Trinômes'!$B$2:$B$48=Y29,'Trinômes'!$C$2:$C$48=COUNTIF(Y$21:Y29,"="&amp;Y29)-1
,ROW('Trinômes'!$A$2:$A$48)),COLUMN('Trinômes'!$A$1)-COLUMN('Trinômes'!$A$1)+1)),"",indirect("Trinômes!"&amp;ADDRESS(SUMPRODUCT('Trinômes'!$B$2:$B$48=Y29,'Trinômes'!$C$2:$C$48=COUNTIF(Y$21:Y29,"="&amp;Y29)-1
,ROW('Trinômes'!$A$2:$A$48)),COLUMN('Trinômes'!$A$1)-COLUMN('Trinômes'!$A$1)+1)))</f>
        <v>CARNAILLE Alexis</v>
      </c>
      <c r="AA29" s="6">
        <f t="shared" si="16"/>
        <v>4</v>
      </c>
      <c r="AB29" s="137" t="str">
        <f t="array" ref="AB29">IF(ISERROR(ADDRESS(SUMPRODUCT('Trinômes'!$B$2:$B$48=AA29,'Trinômes'!$C$2:$C$48=COUNTIF(AA$21:AA29,"="&amp;AA29)-1
,ROW('Trinômes'!$A$2:$A$48)),COLUMN('Trinômes'!$A$1)-COLUMN('Trinômes'!$A$1)+1)),"",indirect("Trinômes!"&amp;ADDRESS(SUMPRODUCT('Trinômes'!$B$2:$B$48=AA29,'Trinômes'!$C$2:$C$48=COUNTIF(AA$21:AA29,"="&amp;AA29)-1
,ROW('Trinômes'!$A$2:$A$48)),COLUMN('Trinômes'!$A$1)-COLUMN('Trinômes'!$A$1)+1)))</f>
        <v>CESARI Elia</v>
      </c>
    </row>
    <row r="30">
      <c r="A30" s="4" t="str">
        <f>'Créneaux'!I12</f>
        <v>Anglais</v>
      </c>
      <c r="B30" s="60">
        <f>'Créneaux'!J12</f>
        <v>3</v>
      </c>
      <c r="C30" s="121" t="str">
        <f>'Créneaux'!K12</f>
        <v>M. Ceccarelli</v>
      </c>
      <c r="D30" s="31" t="str">
        <f>switch('Créneaux'!L12,0,"Lundi",1,"Mardi",2,"Mercredi",3,"Jeudi",4,"Vendredi")</f>
        <v>Mercredi</v>
      </c>
      <c r="E30" s="31" t="str">
        <f>'Créneaux'!M12&amp;"h"</f>
        <v>15h</v>
      </c>
      <c r="F30" s="31" t="str">
        <f>'Créneaux'!N12</f>
        <v>K24</v>
      </c>
      <c r="G30" s="32" t="str">
        <f>if(sumproduct((Colles!$A$2:$A$97=$A30),(Colles!C$2:C$97=$B30),(Colles!$B$2:$B$97))&gt;0,sumproduct((Colles!$A$2:$A$97=$A30),(Colles!C$2:C$97=$B30),(Colles!$B$2:$B$97)),"")</f>
        <v/>
      </c>
      <c r="H30" s="31">
        <f>if(sumproduct((Colles!$A$2:$A$97=$A30),(Colles!D$2:D$97=$B30),(Colles!$B$2:$B$97))&gt;0,sumproduct((Colles!$A$2:$A$97=$A30),(Colles!D$2:D$97=$B30),(Colles!$B$2:$B$97)),"")</f>
        <v>7</v>
      </c>
      <c r="I30" s="122">
        <f>if(sumproduct((Colles!$A$2:$A$97=$A30),(Colles!E$2:E$97=$B30),(Colles!$B$2:$B$97))&gt;0,sumproduct((Colles!$A$2:$A$97=$A30),(Colles!E$2:E$97=$B30),(Colles!$B$2:$B$97)),"")</f>
        <v>10</v>
      </c>
      <c r="J30" s="31">
        <f>if(sumproduct((Colles!$A$2:$A$97=$A30),(Colles!F$2:F$97=$B30),(Colles!$B$2:$B$97))&gt;0,sumproduct((Colles!$A$2:$A$97=$A30),(Colles!F$2:F$97=$B30),(Colles!$B$2:$B$97)),"")</f>
        <v>3</v>
      </c>
      <c r="K30" s="122">
        <f>if(sumproduct((Colles!$A$2:$A$97=$A30),(Colles!G$2:G$97=$B30),(Colles!$B$2:$B$97))&gt;0,sumproduct((Colles!$A$2:$A$97=$A30),(Colles!G$2:G$97=$B30),(Colles!$B$2:$B$97)),"")</f>
        <v>14</v>
      </c>
      <c r="L30" s="32"/>
      <c r="M30" s="31">
        <f>if(sumproduct((Colles!$A$2:$A$97=$A30),(Colles!I$2:I$97=$B30),(Colles!$B$2:$B$97))&gt;0,sumproduct((Colles!$A$2:$A$97=$A30),(Colles!I$2:I$97=$B30),(Colles!$B$2:$B$97)),"")</f>
        <v>9</v>
      </c>
      <c r="N30" s="122">
        <f>if(sumproduct((Colles!$A$2:$A$97=$A30),(Colles!J$2:J$97=$B30),(Colles!$B$2:$B$97))&gt;0,sumproduct((Colles!$A$2:$A$97=$A30),(Colles!J$2:J$97=$B30),(Colles!$B$2:$B$97)),"")</f>
        <v>14</v>
      </c>
      <c r="O30" s="31">
        <f>if(sumproduct((Colles!$A$2:$A$97=$A30),(Colles!K$2:K$97=$B30),(Colles!$B$2:$B$97))&gt;0,sumproduct((Colles!$A$2:$A$97=$A30),(Colles!K$2:K$97=$B30),(Colles!$B$2:$B$97)),"")</f>
        <v>3</v>
      </c>
      <c r="P30" s="122">
        <f>if(sumproduct((Colles!$A$2:$A$97=$A30),(Colles!L$2:L$97=$B30),(Colles!$B$2:$B$97))&gt;0,sumproduct((Colles!$A$2:$A$97=$A30),(Colles!L$2:L$97=$B30),(Colles!$B$2:$B$97)),"")</f>
        <v>12</v>
      </c>
      <c r="Q30" s="31">
        <f>if(sumproduct((Colles!$A$2:$A$97=$A30),(Colles!M$2:M$97=$B30),(Colles!$B$2:$B$97))&gt;0,sumproduct((Colles!$A$2:$A$97=$A30),(Colles!M$2:M$97=$B30),(Colles!$B$2:$B$97)),"")</f>
        <v>7</v>
      </c>
      <c r="R30" s="122">
        <f>if(sumproduct((Colles!$A$2:$A$97=$A30),(Colles!N$2:N$97=$B30),(Colles!$B$2:$B$97))&gt;0,sumproduct((Colles!$A$2:$A$97=$A30),(Colles!N$2:N$97=$B30),(Colles!$B$2:$B$97)),"")</f>
        <v>16</v>
      </c>
      <c r="S30" s="31">
        <f>if(sumproduct((Colles!$A$2:$A$97=$A30),(Colles!O$2:O$97=$B30),(Colles!$B$2:$B$97))&gt;0,sumproduct((Colles!$A$2:$A$97=$A30),(Colles!O$2:O$97=$B30),(Colles!$B$2:$B$97)),"")</f>
        <v>5</v>
      </c>
      <c r="T30" s="32"/>
      <c r="U30" s="32" t="str">
        <f>if(sumproduct((Colles!$A$2:$A$97=$A30),(Colles!Q$2:Q$97=$B30),(Colles!$B$2:$B$97))&gt;0,sumproduct((Colles!$A$2:$A$97=$A30),(Colles!Q$2:Q$97=$B30),(Colles!$B$2:$B$97)),"")</f>
        <v/>
      </c>
      <c r="V30" s="122">
        <f>if(sumproduct((Colles!$A$2:$A$97=$A30),(Colles!R$2:R$97=$B30),(Colles!$B$2:$B$97))&gt;0,sumproduct((Colles!$A$2:$A$97=$A30),(Colles!R$2:R$97=$B30),(Colles!$B$2:$B$97)),"")</f>
        <v>8</v>
      </c>
      <c r="W30" s="31">
        <f>if(sumproduct((Colles!$A$2:$A$97=$A30),(Colles!S$2:S$97=$B30),(Colles!$B$2:$B$97))&gt;0,sumproduct((Colles!$A$2:$A$97=$A30),(Colles!S$2:S$97=$B30),(Colles!$B$2:$B$97)),"")</f>
        <v>13</v>
      </c>
      <c r="Y30" s="6">
        <f t="shared" si="15"/>
        <v>3</v>
      </c>
      <c r="Z30" s="6"/>
      <c r="AA30" s="6">
        <f t="shared" si="16"/>
        <v>4</v>
      </c>
      <c r="AB30" s="6"/>
    </row>
    <row r="31">
      <c r="A31" s="4" t="str">
        <f>'Créneaux'!I13</f>
        <v>Anglais</v>
      </c>
      <c r="B31" s="60">
        <f>'Créneaux'!J13</f>
        <v>4</v>
      </c>
      <c r="C31" s="121" t="str">
        <f>'Créneaux'!K13</f>
        <v>M. Ceccarelli</v>
      </c>
      <c r="D31" s="31" t="str">
        <f>switch('Créneaux'!L13,0,"Lundi",1,"Mardi",2,"Mercredi",3,"Jeudi",4,"Vendredi")</f>
        <v>Mercredi</v>
      </c>
      <c r="E31" s="31" t="str">
        <f>'Créneaux'!M13&amp;"h"</f>
        <v>16h</v>
      </c>
      <c r="F31" s="31" t="str">
        <f>'Créneaux'!N13</f>
        <v>K24</v>
      </c>
      <c r="G31" s="32" t="str">
        <f>if(sumproduct((Colles!$A$2:$A$97=$A31),(Colles!C$2:C$97=$B31),(Colles!$B$2:$B$97))&gt;0,sumproduct((Colles!$A$2:$A$97=$A31),(Colles!C$2:C$97=$B31),(Colles!$B$2:$B$97)),"")</f>
        <v/>
      </c>
      <c r="H31" s="31">
        <f>if(sumproduct((Colles!$A$2:$A$97=$A31),(Colles!D$2:D$97=$B31),(Colles!$B$2:$B$97))&gt;0,sumproduct((Colles!$A$2:$A$97=$A31),(Colles!D$2:D$97=$B31),(Colles!$B$2:$B$97)),"")</f>
        <v>13</v>
      </c>
      <c r="I31" s="122">
        <f>if(sumproduct((Colles!$A$2:$A$97=$A31),(Colles!E$2:E$97=$B31),(Colles!$B$2:$B$97))&gt;0,sumproduct((Colles!$A$2:$A$97=$A31),(Colles!E$2:E$97=$B31),(Colles!$B$2:$B$97)),"")</f>
        <v>8</v>
      </c>
      <c r="J31" s="31">
        <f>if(sumproduct((Colles!$A$2:$A$97=$A31),(Colles!F$2:F$97=$B31),(Colles!$B$2:$B$97))&gt;0,sumproduct((Colles!$A$2:$A$97=$A31),(Colles!F$2:F$97=$B31),(Colles!$B$2:$B$97)),"")</f>
        <v>11</v>
      </c>
      <c r="K31" s="122">
        <f>if(sumproduct((Colles!$A$2:$A$97=$A31),(Colles!G$2:G$97=$B31),(Colles!$B$2:$B$97))&gt;0,sumproduct((Colles!$A$2:$A$97=$A31),(Colles!G$2:G$97=$B31),(Colles!$B$2:$B$97)),"")</f>
        <v>2</v>
      </c>
      <c r="L31" s="32"/>
      <c r="M31" s="31">
        <f>if(sumproduct((Colles!$A$2:$A$97=$A31),(Colles!I$2:I$97=$B31),(Colles!$B$2:$B$97))&gt;0,sumproduct((Colles!$A$2:$A$97=$A31),(Colles!I$2:I$97=$B31),(Colles!$B$2:$B$97)),"")</f>
        <v>1</v>
      </c>
      <c r="N31" s="122">
        <f>if(sumproduct((Colles!$A$2:$A$97=$A31),(Colles!J$2:J$97=$B31),(Colles!$B$2:$B$97))&gt;0,sumproduct((Colles!$A$2:$A$97=$A31),(Colles!J$2:J$97=$B31),(Colles!$B$2:$B$97)),"")</f>
        <v>4</v>
      </c>
      <c r="O31" s="31">
        <f>if(sumproduct((Colles!$A$2:$A$97=$A31),(Colles!K$2:K$97=$B31),(Colles!$B$2:$B$97))&gt;0,sumproduct((Colles!$A$2:$A$97=$A31),(Colles!K$2:K$97=$B31),(Colles!$B$2:$B$97)),"")</f>
        <v>11</v>
      </c>
      <c r="P31" s="122">
        <f>if(sumproduct((Colles!$A$2:$A$97=$A31),(Colles!L$2:L$97=$B31),(Colles!$B$2:$B$97))&gt;0,sumproduct((Colles!$A$2:$A$97=$A31),(Colles!L$2:L$97=$B31),(Colles!$B$2:$B$97)),"")</f>
        <v>6</v>
      </c>
      <c r="Q31" s="31">
        <f>if(sumproduct((Colles!$A$2:$A$97=$A31),(Colles!M$2:M$97=$B31),(Colles!$B$2:$B$97))&gt;0,sumproduct((Colles!$A$2:$A$97=$A31),(Colles!M$2:M$97=$B31),(Colles!$B$2:$B$97)),"")</f>
        <v>13</v>
      </c>
      <c r="R31" s="122">
        <f>if(sumproduct((Colles!$A$2:$A$97=$A31),(Colles!N$2:N$97=$B31),(Colles!$B$2:$B$97))&gt;0,sumproduct((Colles!$A$2:$A$97=$A31),(Colles!N$2:N$97=$B31),(Colles!$B$2:$B$97)),"")</f>
        <v>8</v>
      </c>
      <c r="S31" s="31">
        <f>if(sumproduct((Colles!$A$2:$A$97=$A31),(Colles!O$2:O$97=$B31),(Colles!$B$2:$B$97))&gt;0,sumproduct((Colles!$A$2:$A$97=$A31),(Colles!O$2:O$97=$B31),(Colles!$B$2:$B$97)),"")</f>
        <v>11</v>
      </c>
      <c r="T31" s="32"/>
      <c r="U31" s="32" t="str">
        <f>if(sumproduct((Colles!$A$2:$A$97=$A31),(Colles!Q$2:Q$97=$B31),(Colles!$B$2:$B$97))&gt;0,sumproduct((Colles!$A$2:$A$97=$A31),(Colles!Q$2:Q$97=$B31),(Colles!$B$2:$B$97)),"")</f>
        <v/>
      </c>
      <c r="V31" s="122">
        <f>if(sumproduct((Colles!$A$2:$A$97=$A31),(Colles!R$2:R$97=$B31),(Colles!$B$2:$B$97))&gt;0,sumproduct((Colles!$A$2:$A$97=$A31),(Colles!R$2:R$97=$B31),(Colles!$B$2:$B$97)),"")</f>
        <v>12</v>
      </c>
      <c r="W31" s="31">
        <f>if(sumproduct((Colles!$A$2:$A$97=$A31),(Colles!S$2:S$97=$B31),(Colles!$B$2:$B$97))&gt;0,sumproduct((Colles!$A$2:$A$97=$A31),(Colles!S$2:S$97=$B31),(Colles!$B$2:$B$97)),"")</f>
        <v>5</v>
      </c>
      <c r="Y31" s="6">
        <f>AA26+1</f>
        <v>5</v>
      </c>
      <c r="Z31" s="134" t="str">
        <f>Y31&amp;IF(SUMPRODUCT('Trinômes'!$A$2:$A$48=Z32,'Trinômes'!$D$2:$D$48&lt;&gt;0)+SUMPRODUCT('Trinômes'!$A$2:$A$48=Z33,'Trinômes'!$D$2:$D$48&lt;&gt;0)+SUMPRODUCT('Trinômes'!$A$2:$A$48=Z34,'Trinômes'!$D$2:$D$48&lt;&gt;0)&gt;0," – LV2","")</f>
        <v>5</v>
      </c>
      <c r="AA31" s="135">
        <f>Y31+1</f>
        <v>6</v>
      </c>
      <c r="AB31" s="136" t="str">
        <f>AA31&amp;IF(SUMPRODUCT('Trinômes'!$A$2:$A$48=AB32,'Trinômes'!$D$2:$D$48&lt;&gt;0)+SUMPRODUCT('Trinômes'!$A$2:$A$48=AB33,'Trinômes'!$D$2:$D$48&lt;&gt;0)+SUMPRODUCT('Trinômes'!$A$2:$A$48=AB34,'Trinômes'!$D$2:$D$48&lt;&gt;0)&gt;0," – LV2","")</f>
        <v>6</v>
      </c>
    </row>
    <row r="32">
      <c r="A32" s="4" t="str">
        <f>'Créneaux'!I14</f>
        <v>Anglais</v>
      </c>
      <c r="B32" s="60">
        <f>'Créneaux'!J14</f>
        <v>5</v>
      </c>
      <c r="C32" s="121" t="str">
        <f>'Créneaux'!K14</f>
        <v>M. Daoudi</v>
      </c>
      <c r="D32" s="31" t="str">
        <f>switch('Créneaux'!L14,0,"Lundi",1,"Mardi",2,"Mercredi",3,"Jeudi",4,"Vendredi")</f>
        <v>Jeudi</v>
      </c>
      <c r="E32" s="31" t="str">
        <f>'Créneaux'!M14&amp;"h"</f>
        <v>16h</v>
      </c>
      <c r="F32" s="31" t="str">
        <f>'Créneaux'!N14</f>
        <v>Prépa 10</v>
      </c>
      <c r="G32" s="32" t="str">
        <f>if(sumproduct((Colles!$A$2:$A$97=$A32),(Colles!C$2:C$97=$B32),(Colles!$B$2:$B$97))&gt;0,sumproduct((Colles!$A$2:$A$97=$A32),(Colles!C$2:C$97=$B32),(Colles!$B$2:$B$97)),"")</f>
        <v/>
      </c>
      <c r="H32" s="31">
        <f>if(sumproduct((Colles!$A$2:$A$97=$A32),(Colles!D$2:D$97=$B32),(Colles!$B$2:$B$97))&gt;0,sumproduct((Colles!$A$2:$A$97=$A32),(Colles!D$2:D$97=$B32),(Colles!$B$2:$B$97)),"")</f>
        <v>15</v>
      </c>
      <c r="I32" s="122">
        <f>if(sumproduct((Colles!$A$2:$A$97=$A32),(Colles!E$2:E$97=$B32),(Colles!$B$2:$B$97))&gt;0,sumproduct((Colles!$A$2:$A$97=$A32),(Colles!E$2:E$97=$B32),(Colles!$B$2:$B$97)),"")</f>
        <v>4</v>
      </c>
      <c r="J32" s="31">
        <f>if(sumproduct((Colles!$A$2:$A$97=$A32),(Colles!F$2:F$97=$B32),(Colles!$B$2:$B$97))&gt;0,sumproduct((Colles!$A$2:$A$97=$A32),(Colles!F$2:F$97=$B32),(Colles!$B$2:$B$97)),"")</f>
        <v>13</v>
      </c>
      <c r="K32" s="122">
        <f>if(sumproduct((Colles!$A$2:$A$97=$A32),(Colles!G$2:G$97=$B32),(Colles!$B$2:$B$97))&gt;0,sumproduct((Colles!$A$2:$A$97=$A32),(Colles!G$2:G$97=$B32),(Colles!$B$2:$B$97)),"")</f>
        <v>6</v>
      </c>
      <c r="L32" s="32"/>
      <c r="M32" s="31">
        <f>if(sumproduct((Colles!$A$2:$A$97=$A32),(Colles!I$2:I$97=$B32),(Colles!$B$2:$B$97))&gt;0,sumproduct((Colles!$A$2:$A$97=$A32),(Colles!I$2:I$97=$B32),(Colles!$B$2:$B$97)),"")</f>
        <v>11</v>
      </c>
      <c r="N32" s="122">
        <f>if(sumproduct((Colles!$A$2:$A$97=$A32),(Colles!J$2:J$97=$B32),(Colles!$B$2:$B$97))&gt;0,sumproduct((Colles!$A$2:$A$97=$A32),(Colles!J$2:J$97=$B32),(Colles!$B$2:$B$97)),"")</f>
        <v>8</v>
      </c>
      <c r="O32" s="31">
        <f>if(sumproduct((Colles!$A$2:$A$97=$A32),(Colles!K$2:K$97=$B32),(Colles!$B$2:$B$97))&gt;0,sumproduct((Colles!$A$2:$A$97=$A32),(Colles!K$2:K$97=$B32),(Colles!$B$2:$B$97)),"")</f>
        <v>9</v>
      </c>
      <c r="P32" s="122">
        <f>if(sumproduct((Colles!$A$2:$A$97=$A32),(Colles!L$2:L$97=$B32),(Colles!$B$2:$B$97))&gt;0,sumproduct((Colles!$A$2:$A$97=$A32),(Colles!L$2:L$97=$B32),(Colles!$B$2:$B$97)),"")</f>
        <v>2</v>
      </c>
      <c r="Q32" s="31">
        <f>if(sumproduct((Colles!$A$2:$A$97=$A32),(Colles!M$2:M$97=$B32),(Colles!$B$2:$B$97))&gt;0,sumproduct((Colles!$A$2:$A$97=$A32),(Colles!M$2:M$97=$B32),(Colles!$B$2:$B$97)),"")</f>
        <v>15</v>
      </c>
      <c r="R32" s="122">
        <f>if(sumproduct((Colles!$A$2:$A$97=$A32),(Colles!N$2:N$97=$B32),(Colles!$B$2:$B$97))&gt;0,sumproduct((Colles!$A$2:$A$97=$A32),(Colles!N$2:N$97=$B32),(Colles!$B$2:$B$97)),"")</f>
        <v>4</v>
      </c>
      <c r="S32" s="31">
        <f>if(sumproduct((Colles!$A$2:$A$97=$A32),(Colles!O$2:O$97=$B32),(Colles!$B$2:$B$97))&gt;0,sumproduct((Colles!$A$2:$A$97=$A32),(Colles!O$2:O$97=$B32),(Colles!$B$2:$B$97)),"")</f>
        <v>9</v>
      </c>
      <c r="T32" s="32"/>
      <c r="U32" s="32" t="str">
        <f>if(sumproduct((Colles!$A$2:$A$97=$A32),(Colles!Q$2:Q$97=$B32),(Colles!$B$2:$B$97))&gt;0,sumproduct((Colles!$A$2:$A$97=$A32),(Colles!Q$2:Q$97=$B32),(Colles!$B$2:$B$97)),"")</f>
        <v/>
      </c>
      <c r="V32" s="122">
        <f>if(sumproduct((Colles!$A$2:$A$97=$A32),(Colles!R$2:R$97=$B32),(Colles!$B$2:$B$97))&gt;0,sumproduct((Colles!$A$2:$A$97=$A32),(Colles!R$2:R$97=$B32),(Colles!$B$2:$B$97)),"")</f>
        <v>16</v>
      </c>
      <c r="W32" s="31">
        <f>if(sumproduct((Colles!$A$2:$A$97=$A32),(Colles!S$2:S$97=$B32),(Colles!$B$2:$B$97))&gt;0,sumproduct((Colles!$A$2:$A$97=$A32),(Colles!S$2:S$97=$B32),(Colles!$B$2:$B$97)),"")</f>
        <v>1</v>
      </c>
      <c r="Y32" s="6">
        <f t="shared" ref="Y32:Y35" si="17">Y31</f>
        <v>5</v>
      </c>
      <c r="Z32" s="137" t="str">
        <f t="array" ref="Z32">IF(ISERROR(ADDRESS(SUMPRODUCT('Trinômes'!$B$2:$B$48=Y32,'Trinômes'!$C$2:$C$48=COUNTIF(Y$21:Y32,"="&amp;Y32)-1
,ROW('Trinômes'!$A$2:$A$48)),COLUMN('Trinômes'!$A$1)-COLUMN('Trinômes'!$A$1)+1)),"",indirect("Trinômes!"&amp;ADDRESS(SUMPRODUCT('Trinômes'!$B$2:$B$48=Y32,'Trinômes'!$C$2:$C$48=COUNTIF(Y$21:Y32,"="&amp;Y32)-1
,ROW('Trinômes'!$A$2:$A$48)),COLUMN('Trinômes'!$A$1)-COLUMN('Trinômes'!$A$1)+1)))</f>
        <v>CONSTANCIAS Lucas</v>
      </c>
      <c r="AA32" s="6">
        <f t="shared" ref="AA32:AA35" si="18">AA31</f>
        <v>6</v>
      </c>
      <c r="AB32" s="137" t="str">
        <f t="array" ref="AB32">IF(ISERROR(ADDRESS(SUMPRODUCT('Trinômes'!$B$2:$B$48=AA32,'Trinômes'!$C$2:$C$48=COUNTIF(AA$21:AA32,"="&amp;AA32)-1
,ROW('Trinômes'!$A$2:$A$48)),COLUMN('Trinômes'!$A$1)-COLUMN('Trinômes'!$A$1)+1)),"",indirect("Trinômes!"&amp;ADDRESS(SUMPRODUCT('Trinômes'!$B$2:$B$48=AA32,'Trinômes'!$C$2:$C$48=COUNTIF(AA$21:AA32,"="&amp;AA32)-1
,ROW('Trinômes'!$A$2:$A$48)),COLUMN('Trinômes'!$A$1)-COLUMN('Trinômes'!$A$1)+1)))</f>
        <v>DESCOLLONGES Eric</v>
      </c>
    </row>
    <row r="33">
      <c r="A33" s="4" t="str">
        <f>'Créneaux'!I15</f>
        <v>Anglais</v>
      </c>
      <c r="B33" s="60">
        <f>'Créneaux'!J15</f>
        <v>6</v>
      </c>
      <c r="C33" s="121" t="str">
        <f>'Créneaux'!K15</f>
        <v>M. Daoudi</v>
      </c>
      <c r="D33" s="31" t="str">
        <f>switch('Créneaux'!L15,0,"Lundi",1,"Mardi",2,"Mercredi",3,"Jeudi",4,"Vendredi")</f>
        <v>Jeudi</v>
      </c>
      <c r="E33" s="31" t="str">
        <f>'Créneaux'!M15&amp;"h"</f>
        <v>17h</v>
      </c>
      <c r="F33" s="31" t="str">
        <f>'Créneaux'!N15</f>
        <v>Prépa 10</v>
      </c>
      <c r="G33" s="32" t="str">
        <f>if(sumproduct((Colles!$A$2:$A$97=$A33),(Colles!C$2:C$97=$B33),(Colles!$B$2:$B$97))&gt;0,sumproduct((Colles!$A$2:$A$97=$A33),(Colles!C$2:C$97=$B33),(Colles!$B$2:$B$97)),"")</f>
        <v/>
      </c>
      <c r="H33" s="31">
        <f>if(sumproduct((Colles!$A$2:$A$97=$A33),(Colles!D$2:D$97=$B33),(Colles!$B$2:$B$97))&gt;0,sumproduct((Colles!$A$2:$A$97=$A33),(Colles!D$2:D$97=$B33),(Colles!$B$2:$B$97)),"")</f>
        <v>11</v>
      </c>
      <c r="I33" s="122">
        <f>if(sumproduct((Colles!$A$2:$A$97=$A33),(Colles!E$2:E$97=$B33),(Colles!$B$2:$B$97))&gt;0,sumproduct((Colles!$A$2:$A$97=$A33),(Colles!E$2:E$97=$B33),(Colles!$B$2:$B$97)),"")</f>
        <v>6</v>
      </c>
      <c r="J33" s="31">
        <f>if(sumproduct((Colles!$A$2:$A$97=$A33),(Colles!F$2:F$97=$B33),(Colles!$B$2:$B$97))&gt;0,sumproduct((Colles!$A$2:$A$97=$A33),(Colles!F$2:F$97=$B33),(Colles!$B$2:$B$97)),"")</f>
        <v>9</v>
      </c>
      <c r="K33" s="122">
        <f>if(sumproduct((Colles!$A$2:$A$97=$A33),(Colles!G$2:G$97=$B33),(Colles!$B$2:$B$97))&gt;0,sumproduct((Colles!$A$2:$A$97=$A33),(Colles!G$2:G$97=$B33),(Colles!$B$2:$B$97)),"")</f>
        <v>8</v>
      </c>
      <c r="L33" s="32"/>
      <c r="M33" s="31">
        <f>if(sumproduct((Colles!$A$2:$A$97=$A33),(Colles!I$2:I$97=$B33),(Colles!$B$2:$B$97))&gt;0,sumproduct((Colles!$A$2:$A$97=$A33),(Colles!I$2:I$97=$B33),(Colles!$B$2:$B$97)),"")</f>
        <v>13</v>
      </c>
      <c r="N33" s="122">
        <f>if(sumproduct((Colles!$A$2:$A$97=$A33),(Colles!J$2:J$97=$B33),(Colles!$B$2:$B$97))&gt;0,sumproduct((Colles!$A$2:$A$97=$A33),(Colles!J$2:J$97=$B33),(Colles!$B$2:$B$97)),"")</f>
        <v>2</v>
      </c>
      <c r="O33" s="31">
        <f>if(sumproduct((Colles!$A$2:$A$97=$A33),(Colles!K$2:K$97=$B33),(Colles!$B$2:$B$97))&gt;0,sumproduct((Colles!$A$2:$A$97=$A33),(Colles!K$2:K$97=$B33),(Colles!$B$2:$B$97)),"")</f>
        <v>13</v>
      </c>
      <c r="P33" s="122">
        <f>if(sumproduct((Colles!$A$2:$A$97=$A33),(Colles!L$2:L$97=$B33),(Colles!$B$2:$B$97))&gt;0,sumproduct((Colles!$A$2:$A$97=$A33),(Colles!L$2:L$97=$B33),(Colles!$B$2:$B$97)),"")</f>
        <v>4</v>
      </c>
      <c r="Q33" s="31">
        <f>if(sumproduct((Colles!$A$2:$A$97=$A33),(Colles!M$2:M$97=$B33),(Colles!$B$2:$B$97))&gt;0,sumproduct((Colles!$A$2:$A$97=$A33),(Colles!M$2:M$97=$B33),(Colles!$B$2:$B$97)),"")</f>
        <v>11</v>
      </c>
      <c r="R33" s="122">
        <f>if(sumproduct((Colles!$A$2:$A$97=$A33),(Colles!N$2:N$97=$B33),(Colles!$B$2:$B$97))&gt;0,sumproduct((Colles!$A$2:$A$97=$A33),(Colles!N$2:N$97=$B33),(Colles!$B$2:$B$97)),"")</f>
        <v>6</v>
      </c>
      <c r="S33" s="31">
        <f>if(sumproduct((Colles!$A$2:$A$97=$A33),(Colles!O$2:O$97=$B33),(Colles!$B$2:$B$97))&gt;0,sumproduct((Colles!$A$2:$A$97=$A33),(Colles!O$2:O$97=$B33),(Colles!$B$2:$B$97)),"")</f>
        <v>13</v>
      </c>
      <c r="T33" s="32"/>
      <c r="U33" s="32" t="str">
        <f>if(sumproduct((Colles!$A$2:$A$97=$A33),(Colles!Q$2:Q$97=$B33),(Colles!$B$2:$B$97))&gt;0,sumproduct((Colles!$A$2:$A$97=$A33),(Colles!Q$2:Q$97=$B33),(Colles!$B$2:$B$97)),"")</f>
        <v/>
      </c>
      <c r="V33" s="122">
        <f>if(sumproduct((Colles!$A$2:$A$97=$A33),(Colles!R$2:R$97=$B33),(Colles!$B$2:$B$97))&gt;0,sumproduct((Colles!$A$2:$A$97=$A33),(Colles!R$2:R$97=$B33),(Colles!$B$2:$B$97)),"")</f>
        <v>10</v>
      </c>
      <c r="W33" s="31">
        <f>if(sumproduct((Colles!$A$2:$A$97=$A33),(Colles!S$2:S$97=$B33),(Colles!$B$2:$B$97))&gt;0,sumproduct((Colles!$A$2:$A$97=$A33),(Colles!S$2:S$97=$B33),(Colles!$B$2:$B$97)),"")</f>
        <v>3</v>
      </c>
      <c r="Y33" s="6">
        <f t="shared" si="17"/>
        <v>5</v>
      </c>
      <c r="Z33" s="137" t="str">
        <f t="array" ref="Z33">IF(ISERROR(ADDRESS(SUMPRODUCT('Trinômes'!$B$2:$B$48=Y33,'Trinômes'!$C$2:$C$48=COUNTIF(Y$21:Y33,"="&amp;Y33)-1
,ROW('Trinômes'!$A$2:$A$48)),COLUMN('Trinômes'!$A$1)-COLUMN('Trinômes'!$A$1)+1)),"",indirect("Trinômes!"&amp;ADDRESS(SUMPRODUCT('Trinômes'!$B$2:$B$48=Y33,'Trinômes'!$C$2:$C$48=COUNTIF(Y$21:Y33,"="&amp;Y33)-1
,ROW('Trinômes'!$A$2:$A$48)),COLUMN('Trinômes'!$A$1)-COLUMN('Trinômes'!$A$1)+1)))</f>
        <v>DARTOIS Thomas</v>
      </c>
      <c r="AA33" s="6">
        <f t="shared" si="18"/>
        <v>6</v>
      </c>
      <c r="AB33" s="137" t="str">
        <f t="array" ref="AB33">IF(ISERROR(ADDRESS(SUMPRODUCT('Trinômes'!$B$2:$B$48=AA33,'Trinômes'!$C$2:$C$48=COUNTIF(AA$21:AA33,"="&amp;AA33)-1
,ROW('Trinômes'!$A$2:$A$48)),COLUMN('Trinômes'!$A$1)-COLUMN('Trinômes'!$A$1)+1)),"",indirect("Trinômes!"&amp;ADDRESS(SUMPRODUCT('Trinômes'!$B$2:$B$48=AA33,'Trinômes'!$C$2:$C$48=COUNTIF(AA$21:AA33,"="&amp;AA33)-1
,ROW('Trinômes'!$A$2:$A$48)),COLUMN('Trinômes'!$A$1)-COLUMN('Trinômes'!$A$1)+1)))</f>
        <v>DESPRES Jeanne</v>
      </c>
    </row>
    <row r="34">
      <c r="A34" s="4" t="str">
        <f>'Créneaux'!I16</f>
        <v>Anglais</v>
      </c>
      <c r="B34" s="60">
        <f>'Créneaux'!J16</f>
        <v>7</v>
      </c>
      <c r="C34" s="121" t="str">
        <f>'Créneaux'!K16</f>
        <v>Mme Sebah</v>
      </c>
      <c r="D34" s="31" t="str">
        <f>switch('Créneaux'!L16,0,"Lundi",1,"Mardi",2,"Mercredi",3,"Jeudi",4,"Vendredi")</f>
        <v>Vendredi</v>
      </c>
      <c r="E34" s="31" t="str">
        <f>'Créneaux'!M16&amp;"h"</f>
        <v>16h</v>
      </c>
      <c r="F34" s="31" t="str">
        <f>'Créneaux'!N16</f>
        <v>K33</v>
      </c>
      <c r="G34" s="32" t="str">
        <f>if(sumproduct((Colles!$A$2:$A$97=$A34),(Colles!C$2:C$97=$B34),(Colles!$B$2:$B$97))&gt;0,sumproduct((Colles!$A$2:$A$97=$A34),(Colles!C$2:C$97=$B34),(Colles!$B$2:$B$97)),"")</f>
        <v/>
      </c>
      <c r="H34" s="31">
        <f>if(sumproduct((Colles!$A$2:$A$97=$A34),(Colles!D$2:D$97=$B34),(Colles!$B$2:$B$97))&gt;0,sumproduct((Colles!$A$2:$A$97=$A34),(Colles!D$2:D$97=$B34),(Colles!$B$2:$B$97)),"")</f>
        <v>3</v>
      </c>
      <c r="I34" s="122">
        <f>if(sumproduct((Colles!$A$2:$A$97=$A34),(Colles!E$2:E$97=$B34),(Colles!$B$2:$B$97))&gt;0,sumproduct((Colles!$A$2:$A$97=$A34),(Colles!E$2:E$97=$B34),(Colles!$B$2:$B$97)),"")</f>
        <v>16</v>
      </c>
      <c r="J34" s="31">
        <f>if(sumproduct((Colles!$A$2:$A$97=$A34),(Colles!F$2:F$97=$B34),(Colles!$B$2:$B$97))&gt;0,sumproduct((Colles!$A$2:$A$97=$A34),(Colles!F$2:F$97=$B34),(Colles!$B$2:$B$97)),"")</f>
        <v>5</v>
      </c>
      <c r="K34" s="122">
        <f>if(sumproduct((Colles!$A$2:$A$97=$A34),(Colles!G$2:G$97=$B34),(Colles!$B$2:$B$97))&gt;0,sumproduct((Colles!$A$2:$A$97=$A34),(Colles!G$2:G$97=$B34),(Colles!$B$2:$B$97)),"")</f>
        <v>10</v>
      </c>
      <c r="L34" s="32"/>
      <c r="M34" s="31">
        <f>if(sumproduct((Colles!$A$2:$A$97=$A34),(Colles!I$2:I$97=$B34),(Colles!$B$2:$B$97))&gt;0,sumproduct((Colles!$A$2:$A$97=$A34),(Colles!I$2:I$97=$B34),(Colles!$B$2:$B$97)),"")</f>
        <v>15</v>
      </c>
      <c r="N34" s="122">
        <f>if(sumproduct((Colles!$A$2:$A$97=$A34),(Colles!J$2:J$97=$B34),(Colles!$B$2:$B$97))&gt;0,sumproduct((Colles!$A$2:$A$97=$A34),(Colles!J$2:J$97=$B34),(Colles!$B$2:$B$97)),"")</f>
        <v>16</v>
      </c>
      <c r="O34" s="31">
        <f>if(sumproduct((Colles!$A$2:$A$97=$A34),(Colles!K$2:K$97=$B34),(Colles!$B$2:$B$97))&gt;0,sumproduct((Colles!$A$2:$A$97=$A34),(Colles!K$2:K$97=$B34),(Colles!$B$2:$B$97)),"")</f>
        <v>5</v>
      </c>
      <c r="P34" s="122">
        <f>if(sumproduct((Colles!$A$2:$A$97=$A34),(Colles!L$2:L$97=$B34),(Colles!$B$2:$B$97))&gt;0,sumproduct((Colles!$A$2:$A$97=$A34),(Colles!L$2:L$97=$B34),(Colles!$B$2:$B$97)),"")</f>
        <v>14</v>
      </c>
      <c r="Q34" s="31">
        <f>if(sumproduct((Colles!$A$2:$A$97=$A34),(Colles!M$2:M$97=$B34),(Colles!$B$2:$B$97))&gt;0,sumproduct((Colles!$A$2:$A$97=$A34),(Colles!M$2:M$97=$B34),(Colles!$B$2:$B$97)),"")</f>
        <v>3</v>
      </c>
      <c r="R34" s="122">
        <f>if(sumproduct((Colles!$A$2:$A$97=$A34),(Colles!N$2:N$97=$B34),(Colles!$B$2:$B$97))&gt;0,sumproduct((Colles!$A$2:$A$97=$A34),(Colles!N$2:N$97=$B34),(Colles!$B$2:$B$97)),"")</f>
        <v>10</v>
      </c>
      <c r="S34" s="31">
        <f>if(sumproduct((Colles!$A$2:$A$97=$A34),(Colles!O$2:O$97=$B34),(Colles!$B$2:$B$97))&gt;0,sumproduct((Colles!$A$2:$A$97=$A34),(Colles!O$2:O$97=$B34),(Colles!$B$2:$B$97)),"")</f>
        <v>7</v>
      </c>
      <c r="T34" s="32"/>
      <c r="U34" s="32" t="str">
        <f>if(sumproduct((Colles!$A$2:$A$97=$A34),(Colles!Q$2:Q$97=$B34),(Colles!$B$2:$B$97))&gt;0,sumproduct((Colles!$A$2:$A$97=$A34),(Colles!Q$2:Q$97=$B34),(Colles!$B$2:$B$97)),"")</f>
        <v/>
      </c>
      <c r="V34" s="122">
        <f>if(sumproduct((Colles!$A$2:$A$97=$A34),(Colles!R$2:R$97=$B34),(Colles!$B$2:$B$97))&gt;0,sumproduct((Colles!$A$2:$A$97=$A34),(Colles!R$2:R$97=$B34),(Colles!$B$2:$B$97)),"")</f>
        <v>2</v>
      </c>
      <c r="W34" s="31">
        <f>if(sumproduct((Colles!$A$2:$A$97=$A34),(Colles!S$2:S$97=$B34),(Colles!$B$2:$B$97))&gt;0,sumproduct((Colles!$A$2:$A$97=$A34),(Colles!S$2:S$97=$B34),(Colles!$B$2:$B$97)),"")</f>
        <v>9</v>
      </c>
      <c r="Y34" s="6">
        <f t="shared" si="17"/>
        <v>5</v>
      </c>
      <c r="Z34" s="137" t="str">
        <f t="array" ref="Z34">IF(ISERROR(ADDRESS(SUMPRODUCT('Trinômes'!$B$2:$B$48=Y34,'Trinômes'!$C$2:$C$48=COUNTIF(Y$21:Y34,"="&amp;Y34)-1
,ROW('Trinômes'!$A$2:$A$48)),COLUMN('Trinômes'!$A$1)-COLUMN('Trinômes'!$A$1)+1)),"",indirect("Trinômes!"&amp;ADDRESS(SUMPRODUCT('Trinômes'!$B$2:$B$48=Y34,'Trinômes'!$C$2:$C$48=COUNTIF(Y$21:Y34,"="&amp;Y34)-1
,ROW('Trinômes'!$A$2:$A$48)),COLUMN('Trinômes'!$A$1)-COLUMN('Trinômes'!$A$1)+1)))</f>
        <v>DE SAINT-JEAN Thibault</v>
      </c>
      <c r="AA34" s="6">
        <f t="shared" si="18"/>
        <v>6</v>
      </c>
      <c r="AB34" s="137" t="str">
        <f t="array" ref="AB34">IF(ISERROR(ADDRESS(SUMPRODUCT('Trinômes'!$B$2:$B$48=AA34,'Trinômes'!$C$2:$C$48=COUNTIF(AA$21:AA34,"="&amp;AA34)-1
,ROW('Trinômes'!$A$2:$A$48)),COLUMN('Trinômes'!$A$1)-COLUMN('Trinômes'!$A$1)+1)),"",indirect("Trinômes!"&amp;ADDRESS(SUMPRODUCT('Trinômes'!$B$2:$B$48=AA34,'Trinômes'!$C$2:$C$48=COUNTIF(AA$21:AA34,"="&amp;AA34)-1
,ROW('Trinômes'!$A$2:$A$48)),COLUMN('Trinômes'!$A$1)-COLUMN('Trinômes'!$A$1)+1)))</f>
        <v>DORLEANS Louis</v>
      </c>
    </row>
    <row r="35">
      <c r="A35" s="4" t="str">
        <f>'Créneaux'!I17</f>
        <v>Anglais</v>
      </c>
      <c r="B35" s="60">
        <f>'Créneaux'!J17</f>
        <v>8</v>
      </c>
      <c r="C35" s="121" t="str">
        <f>'Créneaux'!K17</f>
        <v>Mme Sebah</v>
      </c>
      <c r="D35" s="31" t="str">
        <f>switch('Créneaux'!L17,0,"Lundi",1,"Mardi",2,"Mercredi",3,"Jeudi",4,"Vendredi")</f>
        <v>Vendredi</v>
      </c>
      <c r="E35" s="31" t="str">
        <f>'Créneaux'!M17&amp;"h"</f>
        <v>17h</v>
      </c>
      <c r="F35" s="31" t="str">
        <f>'Créneaux'!N17</f>
        <v>K33</v>
      </c>
      <c r="G35" s="32" t="str">
        <f>if(sumproduct((Colles!$A$2:$A$97=$A35),(Colles!C$2:C$97=$B35),(Colles!$B$2:$B$97))&gt;0,sumproduct((Colles!$A$2:$A$97=$A35),(Colles!C$2:C$97=$B35),(Colles!$B$2:$B$97)),"")</f>
        <v/>
      </c>
      <c r="H35" s="31">
        <f>if(sumproduct((Colles!$A$2:$A$97=$A35),(Colles!D$2:D$97=$B35),(Colles!$B$2:$B$97))&gt;0,sumproduct((Colles!$A$2:$A$97=$A35),(Colles!D$2:D$97=$B35),(Colles!$B$2:$B$97)),"")</f>
        <v>1</v>
      </c>
      <c r="I35" s="122">
        <f>if(sumproduct((Colles!$A$2:$A$97=$A35),(Colles!E$2:E$97=$B35),(Colles!$B$2:$B$97))&gt;0,sumproduct((Colles!$A$2:$A$97=$A35),(Colles!E$2:E$97=$B35),(Colles!$B$2:$B$97)),"")</f>
        <v>14</v>
      </c>
      <c r="J35" s="31">
        <f>if(sumproduct((Colles!$A$2:$A$97=$A35),(Colles!F$2:F$97=$B35),(Colles!$B$2:$B$97))&gt;0,sumproduct((Colles!$A$2:$A$97=$A35),(Colles!F$2:F$97=$B35),(Colles!$B$2:$B$97)),"")</f>
        <v>7</v>
      </c>
      <c r="K35" s="122">
        <f>if(sumproduct((Colles!$A$2:$A$97=$A35),(Colles!G$2:G$97=$B35),(Colles!$B$2:$B$97))&gt;0,sumproduct((Colles!$A$2:$A$97=$A35),(Colles!G$2:G$97=$B35),(Colles!$B$2:$B$97)),"")</f>
        <v>12</v>
      </c>
      <c r="L35" s="32"/>
      <c r="M35" s="31">
        <f>if(sumproduct((Colles!$A$2:$A$97=$A35),(Colles!I$2:I$97=$B35),(Colles!$B$2:$B$97))&gt;0,sumproduct((Colles!$A$2:$A$97=$A35),(Colles!I$2:I$97=$B35),(Colles!$B$2:$B$97)),"")</f>
        <v>5</v>
      </c>
      <c r="N35" s="122">
        <f>if(sumproduct((Colles!$A$2:$A$97=$A35),(Colles!J$2:J$97=$B35),(Colles!$B$2:$B$97))&gt;0,sumproduct((Colles!$A$2:$A$97=$A35),(Colles!J$2:J$97=$B35),(Colles!$B$2:$B$97)),"")</f>
        <v>10</v>
      </c>
      <c r="O35" s="31">
        <f>if(sumproduct((Colles!$A$2:$A$97=$A35),(Colles!K$2:K$97=$B35),(Colles!$B$2:$B$97))&gt;0,sumproduct((Colles!$A$2:$A$97=$A35),(Colles!K$2:K$97=$B35),(Colles!$B$2:$B$97)),"")</f>
        <v>7</v>
      </c>
      <c r="P35" s="122">
        <f>if(sumproduct((Colles!$A$2:$A$97=$A35),(Colles!L$2:L$97=$B35),(Colles!$B$2:$B$97))&gt;0,sumproduct((Colles!$A$2:$A$97=$A35),(Colles!L$2:L$97=$B35),(Colles!$B$2:$B$97)),"")</f>
        <v>16</v>
      </c>
      <c r="Q35" s="31">
        <f>if(sumproduct((Colles!$A$2:$A$97=$A35),(Colles!M$2:M$97=$B35),(Colles!$B$2:$B$97))&gt;0,sumproduct((Colles!$A$2:$A$97=$A35),(Colles!M$2:M$97=$B35),(Colles!$B$2:$B$97)),"")</f>
        <v>1</v>
      </c>
      <c r="R35" s="122">
        <f>if(sumproduct((Colles!$A$2:$A$97=$A35),(Colles!N$2:N$97=$B35),(Colles!$B$2:$B$97))&gt;0,sumproduct((Colles!$A$2:$A$97=$A35),(Colles!N$2:N$97=$B35),(Colles!$B$2:$B$97)),"")</f>
        <v>14</v>
      </c>
      <c r="S35" s="31">
        <f>if(sumproduct((Colles!$A$2:$A$97=$A35),(Colles!O$2:O$97=$B35),(Colles!$B$2:$B$97))&gt;0,sumproduct((Colles!$A$2:$A$97=$A35),(Colles!O$2:O$97=$B35),(Colles!$B$2:$B$97)),"")</f>
        <v>3</v>
      </c>
      <c r="T35" s="32"/>
      <c r="U35" s="32" t="str">
        <f>if(sumproduct((Colles!$A$2:$A$97=$A35),(Colles!Q$2:Q$97=$B35),(Colles!$B$2:$B$97))&gt;0,sumproduct((Colles!$A$2:$A$97=$A35),(Colles!Q$2:Q$97=$B35),(Colles!$B$2:$B$97)),"")</f>
        <v/>
      </c>
      <c r="V35" s="122">
        <f>if(sumproduct((Colles!$A$2:$A$97=$A35),(Colles!R$2:R$97=$B35),(Colles!$B$2:$B$97))&gt;0,sumproduct((Colles!$A$2:$A$97=$A35),(Colles!R$2:R$97=$B35),(Colles!$B$2:$B$97)),"")</f>
        <v>4</v>
      </c>
      <c r="W35" s="31">
        <f>if(sumproduct((Colles!$A$2:$A$97=$A35),(Colles!S$2:S$97=$B35),(Colles!$B$2:$B$97))&gt;0,sumproduct((Colles!$A$2:$A$97=$A35),(Colles!S$2:S$97=$B35),(Colles!$B$2:$B$97)),"")</f>
        <v>15</v>
      </c>
      <c r="Y35" s="6">
        <f t="shared" si="17"/>
        <v>5</v>
      </c>
      <c r="Z35" s="6"/>
      <c r="AA35" s="6">
        <f t="shared" si="18"/>
        <v>6</v>
      </c>
      <c r="AB35" s="6"/>
    </row>
    <row r="36">
      <c r="A36" s="4"/>
      <c r="C36" s="140" t="str">
        <f>A37</f>
        <v>SI</v>
      </c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Y36" s="6">
        <f>AA31+1</f>
        <v>7</v>
      </c>
      <c r="Z36" s="134" t="str">
        <f>Y36&amp;IF(SUMPRODUCT('Trinômes'!$A$2:$A$48=Z37,'Trinômes'!$D$2:$D$48&lt;&gt;0)+SUMPRODUCT('Trinômes'!$A$2:$A$48=Z38,'Trinômes'!$D$2:$D$48&lt;&gt;0)+SUMPRODUCT('Trinômes'!$A$2:$A$48=Z39,'Trinômes'!$D$2:$D$48&lt;&gt;0)&gt;0," – LV2","")</f>
        <v>7</v>
      </c>
      <c r="AA36" s="135">
        <f>Y36+1</f>
        <v>8</v>
      </c>
      <c r="AB36" s="136" t="str">
        <f>AA36&amp;IF(SUMPRODUCT('Trinômes'!$A$2:$A$48=AB37,'Trinômes'!$D$2:$D$48&lt;&gt;0)+SUMPRODUCT('Trinômes'!$A$2:$A$48=AB38,'Trinômes'!$D$2:$D$48&lt;&gt;0)+SUMPRODUCT('Trinômes'!$A$2:$A$48=AB39,'Trinômes'!$D$2:$D$48&lt;&gt;0)&gt;0," – LV2","")</f>
        <v>8</v>
      </c>
    </row>
    <row r="37">
      <c r="A37" s="4" t="str">
        <f>'Créneaux'!I34</f>
        <v>SI</v>
      </c>
      <c r="B37" s="60">
        <f>'Créneaux'!J34</f>
        <v>1</v>
      </c>
      <c r="C37" s="121" t="str">
        <f>'Créneaux'!K34</f>
        <v>M. Lahmar</v>
      </c>
      <c r="D37" s="31" t="str">
        <f>switch('Créneaux'!L34,0,"Lundi",1,"Mardi",2,"Mercredi",3,"Jeudi",4,"Vendredi")</f>
        <v>Lundi</v>
      </c>
      <c r="E37" s="31" t="str">
        <f>'Créneaux'!M34&amp;"h"</f>
        <v>16h</v>
      </c>
      <c r="F37" s="31" t="str">
        <f>'Créneaux'!N34</f>
        <v>Prépa 21</v>
      </c>
      <c r="G37" s="32" t="str">
        <f>if(sumproduct((Colles!$A$2:$A$97=$A37),(Colles!C$2:C$97=$B37),(Colles!$B$2:$B$97))&gt;0,sumproduct((Colles!$A$2:$A$97=$A37),(Colles!C$2:C$97=$B37),(Colles!$B$2:$B$97)),"")</f>
        <v/>
      </c>
      <c r="H37" s="31">
        <f>if(sumproduct((Colles!$A$2:$A$97=$A37),(Colles!D$2:D$97=$B37),(Colles!$B$2:$B$97))&gt;0,sumproduct((Colles!$A$2:$A$97=$A37),(Colles!D$2:D$97=$B37),(Colles!$B$2:$B$97)),"")</f>
        <v>1</v>
      </c>
      <c r="I37" s="31">
        <f>if(sumproduct((Colles!$A$2:$A$97=$A37),(Colles!E$2:E$97=$B37),(Colles!$B$2:$B$97))&gt;0,sumproduct((Colles!$A$2:$A$97=$A37),(Colles!E$2:E$97=$B37),(Colles!$B$2:$B$97)),"")</f>
        <v>4</v>
      </c>
      <c r="J37" s="31">
        <f>if(sumproduct((Colles!$A$2:$A$97=$A37),(Colles!F$2:F$97=$B37),(Colles!$B$2:$B$97))&gt;0,sumproduct((Colles!$A$2:$A$97=$A37),(Colles!F$2:F$97=$B37),(Colles!$B$2:$B$97)),"")</f>
        <v>9</v>
      </c>
      <c r="K37" s="31">
        <f>if(sumproduct((Colles!$A$2:$A$97=$A37),(Colles!G$2:G$97=$B37),(Colles!$B$2:$B$97))&gt;0,sumproduct((Colles!$A$2:$A$97=$A37),(Colles!G$2:G$97=$B37),(Colles!$B$2:$B$97)),"")</f>
        <v>13</v>
      </c>
      <c r="L37" s="32"/>
      <c r="M37" s="31">
        <f>if(sumproduct((Colles!$A$2:$A$97=$A37),(Colles!I$2:I$97=$B37),(Colles!$B$2:$B$97))&gt;0,sumproduct((Colles!$A$2:$A$97=$A37),(Colles!I$2:I$97=$B37),(Colles!$B$2:$B$97)),"")</f>
        <v>8</v>
      </c>
      <c r="N37" s="31">
        <f>if(sumproduct((Colles!$A$2:$A$97=$A37),(Colles!J$2:J$97=$B37),(Colles!$B$2:$B$97))&gt;0,sumproduct((Colles!$A$2:$A$97=$A37),(Colles!J$2:J$97=$B37),(Colles!$B$2:$B$97)),"")</f>
        <v>5</v>
      </c>
      <c r="O37" s="31">
        <f>if(sumproduct((Colles!$A$2:$A$97=$A37),(Colles!K$2:K$97=$B37),(Colles!$B$2:$B$97))&gt;0,sumproduct((Colles!$A$2:$A$97=$A37),(Colles!K$2:K$97=$B37),(Colles!$B$2:$B$97)),"")</f>
        <v>6</v>
      </c>
      <c r="P37" s="31">
        <f>if(sumproduct((Colles!$A$2:$A$97=$A37),(Colles!L$2:L$97=$B37),(Colles!$B$2:$B$97))&gt;0,sumproduct((Colles!$A$2:$A$97=$A37),(Colles!L$2:L$97=$B37),(Colles!$B$2:$B$97)),"")</f>
        <v>9</v>
      </c>
      <c r="Q37" s="31">
        <f>if(sumproduct((Colles!$A$2:$A$97=$A37),(Colles!M$2:M$97=$B37),(Colles!$B$2:$B$97))&gt;0,sumproduct((Colles!$A$2:$A$97=$A37),(Colles!M$2:M$97=$B37),(Colles!$B$2:$B$97)),"")</f>
        <v>15</v>
      </c>
      <c r="R37" s="31">
        <f>if(sumproduct((Colles!$A$2:$A$97=$A37),(Colles!N$2:N$97=$B37),(Colles!$B$2:$B$97))&gt;0,sumproduct((Colles!$A$2:$A$97=$A37),(Colles!N$2:N$97=$B37),(Colles!$B$2:$B$97)),"")</f>
        <v>7</v>
      </c>
      <c r="S37" s="31">
        <f>if(sumproduct((Colles!$A$2:$A$97=$A37),(Colles!O$2:O$97=$B37),(Colles!$B$2:$B$97))&gt;0,sumproduct((Colles!$A$2:$A$97=$A37),(Colles!O$2:O$97=$B37),(Colles!$B$2:$B$97)),"")</f>
        <v>2</v>
      </c>
      <c r="T37" s="32"/>
      <c r="U37" s="32" t="str">
        <f>if(sumproduct((Colles!$A$2:$A$97=$A37),(Colles!Q$2:Q$97=$B37),(Colles!$B$2:$B$97))&gt;0,sumproduct((Colles!$A$2:$A$97=$A37),(Colles!Q$2:Q$97=$B37),(Colles!$B$2:$B$97)),"")</f>
        <v/>
      </c>
      <c r="V37" s="31">
        <f>if(sumproduct((Colles!$A$2:$A$97=$A37),(Colles!R$2:R$97=$B37),(Colles!$B$2:$B$97))&gt;0,sumproduct((Colles!$A$2:$A$97=$A37),(Colles!R$2:R$97=$B37),(Colles!$B$2:$B$97)),"")</f>
        <v>16</v>
      </c>
      <c r="W37" s="31">
        <f>if(sumproduct((Colles!$A$2:$A$97=$A37),(Colles!S$2:S$97=$B37),(Colles!$B$2:$B$97))&gt;0,sumproduct((Colles!$A$2:$A$97=$A37),(Colles!S$2:S$97=$B37),(Colles!$B$2:$B$97)),"")</f>
        <v>15</v>
      </c>
      <c r="Y37" s="6">
        <f t="shared" ref="Y37:Y40" si="19">Y36</f>
        <v>7</v>
      </c>
      <c r="Z37" s="137" t="str">
        <f t="array" ref="Z37">IF(ISERROR(ADDRESS(SUMPRODUCT('Trinômes'!$B$2:$B$48=Y37,'Trinômes'!$C$2:$C$48=COUNTIF(Y$21:Y37,"="&amp;Y37)-1
,ROW('Trinômes'!$A$2:$A$48)),COLUMN('Trinômes'!$A$1)-COLUMN('Trinômes'!$A$1)+1)),"",indirect("Trinômes!"&amp;ADDRESS(SUMPRODUCT('Trinômes'!$B$2:$B$48=Y37,'Trinômes'!$C$2:$C$48=COUNTIF(Y$21:Y37,"="&amp;Y37)-1
,ROW('Trinômes'!$A$2:$A$48)),COLUMN('Trinômes'!$A$1)-COLUMN('Trinômes'!$A$1)+1)))</f>
        <v>FILLINGER Collin</v>
      </c>
      <c r="AA37" s="6">
        <f t="shared" ref="AA37:AA40" si="20">AA36</f>
        <v>8</v>
      </c>
      <c r="AB37" s="137" t="str">
        <f t="array" ref="AB37">IF(ISERROR(ADDRESS(SUMPRODUCT('Trinômes'!$B$2:$B$48=AA37,'Trinômes'!$C$2:$C$48=COUNTIF(AA$21:AA37,"="&amp;AA37)-1
,ROW('Trinômes'!$A$2:$A$48)),COLUMN('Trinômes'!$A$1)-COLUMN('Trinômes'!$A$1)+1)),"",indirect("Trinômes!"&amp;ADDRESS(SUMPRODUCT('Trinômes'!$B$2:$B$48=AA37,'Trinômes'!$C$2:$C$48=COUNTIF(AA$21:AA37,"="&amp;AA37)-1
,ROW('Trinômes'!$A$2:$A$48)),COLUMN('Trinômes'!$A$1)-COLUMN('Trinômes'!$A$1)+1)))</f>
        <v>GLISSA Ahmed</v>
      </c>
    </row>
    <row r="38">
      <c r="A38" s="4" t="str">
        <f>'Créneaux'!I35</f>
        <v>SI</v>
      </c>
      <c r="B38" s="60">
        <f>'Créneaux'!J35</f>
        <v>2</v>
      </c>
      <c r="C38" s="121" t="str">
        <f>'Créneaux'!K35</f>
        <v>M. Lahmar</v>
      </c>
      <c r="D38" s="31" t="str">
        <f>switch('Créneaux'!L35,0,"Lundi",1,"Mardi",2,"Mercredi",3,"Jeudi",4,"Vendredi")</f>
        <v>Lundi</v>
      </c>
      <c r="E38" s="31" t="str">
        <f>'Créneaux'!M35&amp;"h"</f>
        <v>17h</v>
      </c>
      <c r="F38" s="31" t="str">
        <f>'Créneaux'!N35</f>
        <v>Prépa 21</v>
      </c>
      <c r="G38" s="32" t="str">
        <f>if(sumproduct((Colles!$A$2:$A$97=$A38),(Colles!C$2:C$97=$B38),(Colles!$B$2:$B$97))&gt;0,sumproduct((Colles!$A$2:$A$97=$A38),(Colles!C$2:C$97=$B38),(Colles!$B$2:$B$97)),"")</f>
        <v/>
      </c>
      <c r="H38" s="31">
        <f>if(sumproduct((Colles!$A$2:$A$97=$A38),(Colles!D$2:D$97=$B38),(Colles!$B$2:$B$97))&gt;0,sumproduct((Colles!$A$2:$A$97=$A38),(Colles!D$2:D$97=$B38),(Colles!$B$2:$B$97)),"")</f>
        <v>2</v>
      </c>
      <c r="I38" s="31">
        <f>if(sumproduct((Colles!$A$2:$A$97=$A38),(Colles!E$2:E$97=$B38),(Colles!$B$2:$B$97))&gt;0,sumproduct((Colles!$A$2:$A$97=$A38),(Colles!E$2:E$97=$B38),(Colles!$B$2:$B$97)),"")</f>
        <v>6</v>
      </c>
      <c r="J38" s="31">
        <f>if(sumproduct((Colles!$A$2:$A$97=$A38),(Colles!F$2:F$97=$B38),(Colles!$B$2:$B$97))&gt;0,sumproduct((Colles!$A$2:$A$97=$A38),(Colles!F$2:F$97=$B38),(Colles!$B$2:$B$97)),"")</f>
        <v>10</v>
      </c>
      <c r="K38" s="31">
        <f>if(sumproduct((Colles!$A$2:$A$97=$A38),(Colles!G$2:G$97=$B38),(Colles!$B$2:$B$97))&gt;0,sumproduct((Colles!$A$2:$A$97=$A38),(Colles!G$2:G$97=$B38),(Colles!$B$2:$B$97)),"")</f>
        <v>14</v>
      </c>
      <c r="L38" s="32"/>
      <c r="M38" s="31">
        <f>if(sumproduct((Colles!$A$2:$A$97=$A38),(Colles!I$2:I$97=$B38),(Colles!$B$2:$B$97))&gt;0,sumproduct((Colles!$A$2:$A$97=$A38),(Colles!I$2:I$97=$B38),(Colles!$B$2:$B$97)),"")</f>
        <v>3</v>
      </c>
      <c r="N38" s="31">
        <f>if(sumproduct((Colles!$A$2:$A$97=$A38),(Colles!J$2:J$97=$B38),(Colles!$B$2:$B$97))&gt;0,sumproduct((Colles!$A$2:$A$97=$A38),(Colles!J$2:J$97=$B38),(Colles!$B$2:$B$97)),"")</f>
        <v>1</v>
      </c>
      <c r="O38" s="31">
        <f>if(sumproduct((Colles!$A$2:$A$97=$A38),(Colles!K$2:K$97=$B38),(Colles!$B$2:$B$97))&gt;0,sumproduct((Colles!$A$2:$A$97=$A38),(Colles!K$2:K$97=$B38),(Colles!$B$2:$B$97)),"")</f>
        <v>12</v>
      </c>
      <c r="P38" s="31">
        <f>if(sumproduct((Colles!$A$2:$A$97=$A38),(Colles!L$2:L$97=$B38),(Colles!$B$2:$B$97))&gt;0,sumproduct((Colles!$A$2:$A$97=$A38),(Colles!L$2:L$97=$B38),(Colles!$B$2:$B$97)),"")</f>
        <v>13</v>
      </c>
      <c r="Q38" s="31">
        <f>if(sumproduct((Colles!$A$2:$A$97=$A38),(Colles!M$2:M$97=$B38),(Colles!$B$2:$B$97))&gt;0,sumproduct((Colles!$A$2:$A$97=$A38),(Colles!M$2:M$97=$B38),(Colles!$B$2:$B$97)),"")</f>
        <v>3</v>
      </c>
      <c r="R38" s="31">
        <f>if(sumproduct((Colles!$A$2:$A$97=$A38),(Colles!N$2:N$97=$B38),(Colles!$B$2:$B$97))&gt;0,sumproduct((Colles!$A$2:$A$97=$A38),(Colles!N$2:N$97=$B38),(Colles!$B$2:$B$97)),"")</f>
        <v>9</v>
      </c>
      <c r="S38" s="31">
        <f>if(sumproduct((Colles!$A$2:$A$97=$A38),(Colles!O$2:O$97=$B38),(Colles!$B$2:$B$97))&gt;0,sumproduct((Colles!$A$2:$A$97=$A38),(Colles!O$2:O$97=$B38),(Colles!$B$2:$B$97)),"")</f>
        <v>11</v>
      </c>
      <c r="T38" s="32"/>
      <c r="U38" s="32" t="str">
        <f>if(sumproduct((Colles!$A$2:$A$97=$A38),(Colles!Q$2:Q$97=$B38),(Colles!$B$2:$B$97))&gt;0,sumproduct((Colles!$A$2:$A$97=$A38),(Colles!Q$2:Q$97=$B38),(Colles!$B$2:$B$97)),"")</f>
        <v/>
      </c>
      <c r="V38" s="31">
        <f>if(sumproduct((Colles!$A$2:$A$97=$A38),(Colles!R$2:R$97=$B38),(Colles!$B$2:$B$97))&gt;0,sumproduct((Colles!$A$2:$A$97=$A38),(Colles!R$2:R$97=$B38),(Colles!$B$2:$B$97)),"")</f>
        <v>12</v>
      </c>
      <c r="W38" s="31">
        <f>if(sumproduct((Colles!$A$2:$A$97=$A38),(Colles!S$2:S$97=$B38),(Colles!$B$2:$B$97))&gt;0,sumproduct((Colles!$A$2:$A$97=$A38),(Colles!S$2:S$97=$B38),(Colles!$B$2:$B$97)),"")</f>
        <v>3</v>
      </c>
      <c r="Y38" s="6">
        <f t="shared" si="19"/>
        <v>7</v>
      </c>
      <c r="Z38" s="137" t="str">
        <f t="array" ref="Z38">IF(ISERROR(ADDRESS(SUMPRODUCT('Trinômes'!$B$2:$B$48=Y38,'Trinômes'!$C$2:$C$48=COUNTIF(Y$21:Y38,"="&amp;Y38)-1
,ROW('Trinômes'!$A$2:$A$48)),COLUMN('Trinômes'!$A$1)-COLUMN('Trinômes'!$A$1)+1)),"",indirect("Trinômes!"&amp;ADDRESS(SUMPRODUCT('Trinômes'!$B$2:$B$48=Y38,'Trinômes'!$C$2:$C$48=COUNTIF(Y$21:Y38,"="&amp;Y38)-1
,ROW('Trinômes'!$A$2:$A$48)),COLUMN('Trinômes'!$A$1)-COLUMN('Trinômes'!$A$1)+1)))</f>
        <v>GARIN Pauline</v>
      </c>
      <c r="AA38" s="6">
        <f t="shared" si="20"/>
        <v>8</v>
      </c>
      <c r="AB38" s="137" t="str">
        <f t="array" ref="AB38">IF(ISERROR(ADDRESS(SUMPRODUCT('Trinômes'!$B$2:$B$48=AA38,'Trinômes'!$C$2:$C$48=COUNTIF(AA$21:AA38,"="&amp;AA38)-1
,ROW('Trinômes'!$A$2:$A$48)),COLUMN('Trinômes'!$A$1)-COLUMN('Trinômes'!$A$1)+1)),"",indirect("Trinômes!"&amp;ADDRESS(SUMPRODUCT('Trinômes'!$B$2:$B$48=AA38,'Trinômes'!$C$2:$C$48=COUNTIF(AA$21:AA38,"="&amp;AA38)-1
,ROW('Trinômes'!$A$2:$A$48)),COLUMN('Trinômes'!$A$1)-COLUMN('Trinômes'!$A$1)+1)))</f>
        <v>HAKIM Sarra</v>
      </c>
    </row>
    <row r="39">
      <c r="A39" s="4" t="str">
        <f>'Créneaux'!I36</f>
        <v>SI</v>
      </c>
      <c r="B39" s="60">
        <f>'Créneaux'!J36</f>
        <v>3</v>
      </c>
      <c r="C39" s="121" t="str">
        <f>'Créneaux'!K36</f>
        <v>Mme Martin</v>
      </c>
      <c r="D39" s="31" t="str">
        <f>switch('Créneaux'!L36,0,"Lundi",1,"Mardi",2,"Mercredi",3,"Jeudi",4,"Vendredi")</f>
        <v>Lundi</v>
      </c>
      <c r="E39" s="31" t="str">
        <f>'Créneaux'!M36&amp;"h"</f>
        <v>17h</v>
      </c>
      <c r="F39" s="31" t="str">
        <f>'Créneaux'!N36</f>
        <v>Prépa 36</v>
      </c>
      <c r="G39" s="32" t="str">
        <f>if(sumproduct((Colles!$A$2:$A$97=$A39),(Colles!C$2:C$97=$B39),(Colles!$B$2:$B$97))&gt;0,sumproduct((Colles!$A$2:$A$97=$A39),(Colles!C$2:C$97=$B39),(Colles!$B$2:$B$97)),"")</f>
        <v/>
      </c>
      <c r="H39" s="31">
        <f>if(sumproduct((Colles!$A$2:$A$97=$A39),(Colles!D$2:D$97=$B39),(Colles!$B$2:$B$97))&gt;0,sumproduct((Colles!$A$2:$A$97=$A39),(Colles!D$2:D$97=$B39),(Colles!$B$2:$B$97)),"")</f>
        <v>3</v>
      </c>
      <c r="I39" s="31">
        <f>if(sumproduct((Colles!$A$2:$A$97=$A39),(Colles!E$2:E$97=$B39),(Colles!$B$2:$B$97))&gt;0,sumproduct((Colles!$A$2:$A$97=$A39),(Colles!E$2:E$97=$B39),(Colles!$B$2:$B$97)),"")</f>
        <v>7</v>
      </c>
      <c r="J39" s="31">
        <f>if(sumproduct((Colles!$A$2:$A$97=$A39),(Colles!F$2:F$97=$B39),(Colles!$B$2:$B$97))&gt;0,sumproduct((Colles!$A$2:$A$97=$A39),(Colles!F$2:F$97=$B39),(Colles!$B$2:$B$97)),"")</f>
        <v>16</v>
      </c>
      <c r="K39" s="31">
        <f>if(sumproduct((Colles!$A$2:$A$97=$A39),(Colles!G$2:G$97=$B39),(Colles!$B$2:$B$97))&gt;0,sumproduct((Colles!$A$2:$A$97=$A39),(Colles!G$2:G$97=$B39),(Colles!$B$2:$B$97)),"")</f>
        <v>5</v>
      </c>
      <c r="L39" s="32"/>
      <c r="M39" s="31">
        <f>if(sumproduct((Colles!$A$2:$A$97=$A39),(Colles!I$2:I$97=$B39),(Colles!$B$2:$B$97))&gt;0,sumproduct((Colles!$A$2:$A$97=$A39),(Colles!I$2:I$97=$B39),(Colles!$B$2:$B$97)),"")</f>
        <v>2</v>
      </c>
      <c r="N39" s="31">
        <f>if(sumproduct((Colles!$A$2:$A$97=$A39),(Colles!J$2:J$97=$B39),(Colles!$B$2:$B$97))&gt;0,sumproduct((Colles!$A$2:$A$97=$A39),(Colles!J$2:J$97=$B39),(Colles!$B$2:$B$97)),"")</f>
        <v>15</v>
      </c>
      <c r="O39" s="31">
        <f>if(sumproduct((Colles!$A$2:$A$97=$A39),(Colles!K$2:K$97=$B39),(Colles!$B$2:$B$97))&gt;0,sumproduct((Colles!$A$2:$A$97=$A39),(Colles!K$2:K$97=$B39),(Colles!$B$2:$B$97)),"")</f>
        <v>10</v>
      </c>
      <c r="P39" s="31">
        <f>if(sumproduct((Colles!$A$2:$A$97=$A39),(Colles!L$2:L$97=$B39),(Colles!$B$2:$B$97))&gt;0,sumproduct((Colles!$A$2:$A$97=$A39),(Colles!L$2:L$97=$B39),(Colles!$B$2:$B$97)),"")</f>
        <v>14</v>
      </c>
      <c r="Q39" s="31">
        <f>if(sumproduct((Colles!$A$2:$A$97=$A39),(Colles!M$2:M$97=$B39),(Colles!$B$2:$B$97))&gt;0,sumproduct((Colles!$A$2:$A$97=$A39),(Colles!M$2:M$97=$B39),(Colles!$B$2:$B$97)),"")</f>
        <v>4</v>
      </c>
      <c r="R39" s="31">
        <f>if(sumproduct((Colles!$A$2:$A$97=$A39),(Colles!N$2:N$97=$B39),(Colles!$B$2:$B$97))&gt;0,sumproduct((Colles!$A$2:$A$97=$A39),(Colles!N$2:N$97=$B39),(Colles!$B$2:$B$97)),"")</f>
        <v>6</v>
      </c>
      <c r="S39" s="31">
        <f>if(sumproduct((Colles!$A$2:$A$97=$A39),(Colles!O$2:O$97=$B39),(Colles!$B$2:$B$97))&gt;0,sumproduct((Colles!$A$2:$A$97=$A39),(Colles!O$2:O$97=$B39),(Colles!$B$2:$B$97)),"")</f>
        <v>1</v>
      </c>
      <c r="T39" s="32"/>
      <c r="U39" s="32" t="str">
        <f>if(sumproduct((Colles!$A$2:$A$97=$A39),(Colles!Q$2:Q$97=$B39),(Colles!$B$2:$B$97))&gt;0,sumproduct((Colles!$A$2:$A$97=$A39),(Colles!Q$2:Q$97=$B39),(Colles!$B$2:$B$97)),"")</f>
        <v/>
      </c>
      <c r="V39" s="31">
        <f>if(sumproduct((Colles!$A$2:$A$97=$A39),(Colles!R$2:R$97=$B39),(Colles!$B$2:$B$97))&gt;0,sumproduct((Colles!$A$2:$A$97=$A39),(Colles!R$2:R$97=$B39),(Colles!$B$2:$B$97)),"")</f>
        <v>13</v>
      </c>
      <c r="W39" s="31">
        <f>if(sumproduct((Colles!$A$2:$A$97=$A39),(Colles!S$2:S$97=$B39),(Colles!$B$2:$B$97))&gt;0,sumproduct((Colles!$A$2:$A$97=$A39),(Colles!S$2:S$97=$B39),(Colles!$B$2:$B$97)),"")</f>
        <v>4</v>
      </c>
      <c r="Y39" s="6">
        <f t="shared" si="19"/>
        <v>7</v>
      </c>
      <c r="Z39" s="137" t="str">
        <f t="array" ref="Z39">IF(ISERROR(ADDRESS(SUMPRODUCT('Trinômes'!$B$2:$B$48=Y39,'Trinômes'!$C$2:$C$48=COUNTIF(Y$21:Y39,"="&amp;Y39)-1
,ROW('Trinômes'!$A$2:$A$48)),COLUMN('Trinômes'!$A$1)-COLUMN('Trinômes'!$A$1)+1)),"",indirect("Trinômes!"&amp;ADDRESS(SUMPRODUCT('Trinômes'!$B$2:$B$48=Y39,'Trinômes'!$C$2:$C$48=COUNTIF(Y$21:Y39,"="&amp;Y39)-1
,ROW('Trinômes'!$A$2:$A$48)),COLUMN('Trinômes'!$A$1)-COLUMN('Trinômes'!$A$1)+1)))</f>
        <v>GEIGER Jules</v>
      </c>
      <c r="AA39" s="6">
        <f t="shared" si="20"/>
        <v>8</v>
      </c>
      <c r="AB39" s="137" t="str">
        <f t="array" ref="AB39">IF(ISERROR(ADDRESS(SUMPRODUCT('Trinômes'!$B$2:$B$48=AA39,'Trinômes'!$C$2:$C$48=COUNTIF(AA$21:AA39,"="&amp;AA39)-1
,ROW('Trinômes'!$A$2:$A$48)),COLUMN('Trinômes'!$A$1)-COLUMN('Trinômes'!$A$1)+1)),"",indirect("Trinômes!"&amp;ADDRESS(SUMPRODUCT('Trinômes'!$B$2:$B$48=AA39,'Trinômes'!$C$2:$C$48=COUNTIF(AA$21:AA39,"="&amp;AA39)-1
,ROW('Trinômes'!$A$2:$A$48)),COLUMN('Trinômes'!$A$1)-COLUMN('Trinômes'!$A$1)+1)))</f>
        <v>LAMBIN Bérénice</v>
      </c>
    </row>
    <row r="40">
      <c r="A40" s="4" t="str">
        <f>'Créneaux'!I37</f>
        <v>SI</v>
      </c>
      <c r="B40" s="60">
        <f>'Créneaux'!J37</f>
        <v>4</v>
      </c>
      <c r="C40" s="121" t="str">
        <f>'Créneaux'!K37</f>
        <v>M. Cornette</v>
      </c>
      <c r="D40" s="31" t="str">
        <f>switch('Créneaux'!L37,0,"Lundi",1,"Mardi",2,"Mercredi",3,"Jeudi",4,"Vendredi")</f>
        <v>Lundi</v>
      </c>
      <c r="E40" s="31" t="str">
        <f>'Créneaux'!M37&amp;"h"</f>
        <v>16h</v>
      </c>
      <c r="F40" s="31" t="str">
        <f>'Créneaux'!N37</f>
        <v>Prépa 22</v>
      </c>
      <c r="G40" s="32" t="str">
        <f>if(sumproduct((Colles!$A$2:$A$97=$A40),(Colles!C$2:C$97=$B40),(Colles!$B$2:$B$97))&gt;0,sumproduct((Colles!$A$2:$A$97=$A40),(Colles!C$2:C$97=$B40),(Colles!$B$2:$B$97)),"")</f>
        <v/>
      </c>
      <c r="H40" s="31">
        <f>if(sumproduct((Colles!$A$2:$A$97=$A40),(Colles!D$2:D$97=$B40),(Colles!$B$2:$B$97))&gt;0,sumproduct((Colles!$A$2:$A$97=$A40),(Colles!D$2:D$97=$B40),(Colles!$B$2:$B$97)),"")</f>
        <v>15</v>
      </c>
      <c r="I40" s="31">
        <f>if(sumproduct((Colles!$A$2:$A$97=$A40),(Colles!E$2:E$97=$B40),(Colles!$B$2:$B$97))&gt;0,sumproduct((Colles!$A$2:$A$97=$A40),(Colles!E$2:E$97=$B40),(Colles!$B$2:$B$97)),"")</f>
        <v>8</v>
      </c>
      <c r="J40" s="31">
        <f>if(sumproduct((Colles!$A$2:$A$97=$A40),(Colles!F$2:F$97=$B40),(Colles!$B$2:$B$97))&gt;0,sumproduct((Colles!$A$2:$A$97=$A40),(Colles!F$2:F$97=$B40),(Colles!$B$2:$B$97)),"")</f>
        <v>12</v>
      </c>
      <c r="K40" s="31">
        <f>if(sumproduct((Colles!$A$2:$A$97=$A40),(Colles!G$2:G$97=$B40),(Colles!$B$2:$B$97))&gt;0,sumproduct((Colles!$A$2:$A$97=$A40),(Colles!G$2:G$97=$B40),(Colles!$B$2:$B$97)),"")</f>
        <v>11</v>
      </c>
      <c r="L40" s="32"/>
      <c r="M40" s="31">
        <f>if(sumproduct((Colles!$A$2:$A$97=$A40),(Colles!I$2:I$97=$B40),(Colles!$B$2:$B$97))&gt;0,sumproduct((Colles!$A$2:$A$97=$A40),(Colles!I$2:I$97=$B40),(Colles!$B$2:$B$97)),"")</f>
        <v>4</v>
      </c>
      <c r="N40" s="31">
        <f>if(sumproduct((Colles!$A$2:$A$97=$A40),(Colles!J$2:J$97=$B40),(Colles!$B$2:$B$97))&gt;0,sumproduct((Colles!$A$2:$A$97=$A40),(Colles!J$2:J$97=$B40),(Colles!$B$2:$B$97)),"")</f>
        <v>7</v>
      </c>
      <c r="O40" s="31">
        <f>if(sumproduct((Colles!$A$2:$A$97=$A40),(Colles!K$2:K$97=$B40),(Colles!$B$2:$B$97))&gt;0,sumproduct((Colles!$A$2:$A$97=$A40),(Colles!K$2:K$97=$B40),(Colles!$B$2:$B$97)),"")</f>
        <v>11</v>
      </c>
      <c r="P40" s="31">
        <f>if(sumproduct((Colles!$A$2:$A$97=$A40),(Colles!L$2:L$97=$B40),(Colles!$B$2:$B$97))&gt;0,sumproduct((Colles!$A$2:$A$97=$A40),(Colles!L$2:L$97=$B40),(Colles!$B$2:$B$97)),"")</f>
        <v>16</v>
      </c>
      <c r="Q40" s="31">
        <f>if(sumproduct((Colles!$A$2:$A$97=$A40),(Colles!M$2:M$97=$B40),(Colles!$B$2:$B$97))&gt;0,sumproduct((Colles!$A$2:$A$97=$A40),(Colles!M$2:M$97=$B40),(Colles!$B$2:$B$97)),"")</f>
        <v>8</v>
      </c>
      <c r="R40" s="31">
        <f>if(sumproduct((Colles!$A$2:$A$97=$A40),(Colles!N$2:N$97=$B40),(Colles!$B$2:$B$97))&gt;0,sumproduct((Colles!$A$2:$A$97=$A40),(Colles!N$2:N$97=$B40),(Colles!$B$2:$B$97)),"")</f>
        <v>5</v>
      </c>
      <c r="S40" s="31">
        <f>if(sumproduct((Colles!$A$2:$A$97=$A40),(Colles!O$2:O$97=$B40),(Colles!$B$2:$B$97))&gt;0,sumproduct((Colles!$A$2:$A$97=$A40),(Colles!O$2:O$97=$B40),(Colles!$B$2:$B$97)),"")</f>
        <v>14</v>
      </c>
      <c r="T40" s="32"/>
      <c r="U40" s="32" t="str">
        <f>if(sumproduct((Colles!$A$2:$A$97=$A40),(Colles!Q$2:Q$97=$B40),(Colles!$B$2:$B$97))&gt;0,sumproduct((Colles!$A$2:$A$97=$A40),(Colles!Q$2:Q$97=$B40),(Colles!$B$2:$B$97)),"")</f>
        <v/>
      </c>
      <c r="V40" s="31">
        <f>if(sumproduct((Colles!$A$2:$A$97=$A40),(Colles!R$2:R$97=$B40),(Colles!$B$2:$B$97))&gt;0,sumproduct((Colles!$A$2:$A$97=$A40),(Colles!R$2:R$97=$B40),(Colles!$B$2:$B$97)),"")</f>
        <v>10</v>
      </c>
      <c r="W40" s="31">
        <f>if(sumproduct((Colles!$A$2:$A$97=$A40),(Colles!S$2:S$97=$B40),(Colles!$B$2:$B$97))&gt;0,sumproduct((Colles!$A$2:$A$97=$A40),(Colles!S$2:S$97=$B40),(Colles!$B$2:$B$97)),"")</f>
        <v>8</v>
      </c>
      <c r="Y40" s="6">
        <f t="shared" si="19"/>
        <v>7</v>
      </c>
      <c r="Z40" s="6"/>
      <c r="AA40" s="6">
        <f t="shared" si="20"/>
        <v>8</v>
      </c>
      <c r="AB40" s="6"/>
    </row>
    <row r="41">
      <c r="A41" s="4"/>
      <c r="C41" s="142" t="str">
        <f>A42</f>
        <v>Physique</v>
      </c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Y41" s="6">
        <f>AA36+1</f>
        <v>9</v>
      </c>
      <c r="Z41" s="134" t="str">
        <f>Y41&amp;IF(SUMPRODUCT('Trinômes'!$A$2:$A$48=Z42,'Trinômes'!$D$2:$D$48&lt;&gt;0)+SUMPRODUCT('Trinômes'!$A$2:$A$48=Z43,'Trinômes'!$D$2:$D$48&lt;&gt;0)+SUMPRODUCT('Trinômes'!$A$2:$A$48=Z44,'Trinômes'!$D$2:$D$48&lt;&gt;0)&gt;0," – LV2","")</f>
        <v>9</v>
      </c>
      <c r="AA41" s="135">
        <f>Y41+1</f>
        <v>10</v>
      </c>
      <c r="AB41" s="136" t="str">
        <f>AA41&amp;IF(SUMPRODUCT('Trinômes'!$A$2:$A$48=AB42,'Trinômes'!$D$2:$D$48&lt;&gt;0)+SUMPRODUCT('Trinômes'!$A$2:$A$48=AB43,'Trinômes'!$D$2:$D$48&lt;&gt;0)+SUMPRODUCT('Trinômes'!$A$2:$A$48=AB44,'Trinômes'!$D$2:$D$48&lt;&gt;0)&gt;0," – LV2","")</f>
        <v>10</v>
      </c>
    </row>
    <row r="42">
      <c r="A42" s="4" t="str">
        <f>'Créneaux'!I18</f>
        <v>Physique</v>
      </c>
      <c r="B42" s="60">
        <f>'Créneaux'!J18</f>
        <v>1</v>
      </c>
      <c r="C42" s="121" t="str">
        <f>'Créneaux'!K18</f>
        <v>Mme Vives</v>
      </c>
      <c r="D42" s="31" t="str">
        <f>switch('Créneaux'!L18,0,"Lundi",1,"Mardi",2,"Mercredi",3,"Jeudi",4,"Vendredi")</f>
        <v>Jeudi</v>
      </c>
      <c r="E42" s="31" t="str">
        <f>'Créneaux'!M18&amp;"h"</f>
        <v>14h</v>
      </c>
      <c r="F42" s="31" t="str">
        <f>'Créneaux'!N18</f>
        <v>Prépa 23</v>
      </c>
      <c r="G42" s="32" t="str">
        <f>if(sumproduct((Colles!$A$2:$A$97=$A42),(Colles!C$2:C$97=$B42),(Colles!$B$2:$B$97))&gt;0,sumproduct((Colles!$A$2:$A$97=$A42),(Colles!C$2:C$97=$B42),(Colles!$B$2:$B$97)),"")</f>
        <v/>
      </c>
      <c r="H42" s="122">
        <f>if(sumproduct((Colles!$A$2:$A$97=$A42),(Colles!D$2:D$97=$B42),(Colles!$B$2:$B$97))&gt;0,sumproduct((Colles!$A$2:$A$97=$A42),(Colles!D$2:D$97=$B42),(Colles!$B$2:$B$97)),"")</f>
        <v>16</v>
      </c>
      <c r="I42" s="31">
        <f>if(sumproduct((Colles!$A$2:$A$97=$A42),(Colles!E$2:E$97=$B42),(Colles!$B$2:$B$97))&gt;0,sumproduct((Colles!$A$2:$A$97=$A42),(Colles!E$2:E$97=$B42),(Colles!$B$2:$B$97)),"")</f>
        <v>15</v>
      </c>
      <c r="J42" s="122">
        <f>if(sumproduct((Colles!$A$2:$A$97=$A42),(Colles!F$2:F$97=$B42),(Colles!$B$2:$B$97))&gt;0,sumproduct((Colles!$A$2:$A$97=$A42),(Colles!F$2:F$97=$B42),(Colles!$B$2:$B$97)),"")</f>
        <v>10</v>
      </c>
      <c r="K42" s="31">
        <f>if(sumproduct((Colles!$A$2:$A$97=$A42),(Colles!G$2:G$97=$B42),(Colles!$B$2:$B$97))&gt;0,sumproduct((Colles!$A$2:$A$97=$A42),(Colles!G$2:G$97=$B42),(Colles!$B$2:$B$97)),"")</f>
        <v>9</v>
      </c>
      <c r="L42" s="32"/>
      <c r="M42" s="122">
        <f>if(sumproduct((Colles!$A$2:$A$97=$A42),(Colles!I$2:I$97=$B42),(Colles!$B$2:$B$97))&gt;0,sumproduct((Colles!$A$2:$A$97=$A42),(Colles!I$2:I$97=$B42),(Colles!$B$2:$B$97)),"")</f>
        <v>2</v>
      </c>
      <c r="N42" s="31">
        <f>if(sumproduct((Colles!$A$2:$A$97=$A42),(Colles!J$2:J$97=$B42),(Colles!$B$2:$B$97))&gt;0,sumproduct((Colles!$A$2:$A$97=$A42),(Colles!J$2:J$97=$B42),(Colles!$B$2:$B$97)),"")</f>
        <v>3</v>
      </c>
      <c r="O42" s="122">
        <f>if(sumproduct((Colles!$A$2:$A$97=$A42),(Colles!K$2:K$97=$B42),(Colles!$B$2:$B$97))&gt;0,sumproduct((Colles!$A$2:$A$97=$A42),(Colles!K$2:K$97=$B42),(Colles!$B$2:$B$97)),"")</f>
        <v>8</v>
      </c>
      <c r="P42" s="31">
        <f>if(sumproduct((Colles!$A$2:$A$97=$A42),(Colles!L$2:L$97=$B42),(Colles!$B$2:$B$97))&gt;0,sumproduct((Colles!$A$2:$A$97=$A42),(Colles!L$2:L$97=$B42),(Colles!$B$2:$B$97)),"")</f>
        <v>1</v>
      </c>
      <c r="Q42" s="122">
        <f>if(sumproduct((Colles!$A$2:$A$97=$A42),(Colles!M$2:M$97=$B42),(Colles!$B$2:$B$97))&gt;0,sumproduct((Colles!$A$2:$A$97=$A42),(Colles!M$2:M$97=$B42),(Colles!$B$2:$B$97)),"")</f>
        <v>4</v>
      </c>
      <c r="R42" s="31">
        <f>if(sumproduct((Colles!$A$2:$A$97=$A42),(Colles!N$2:N$97=$B42),(Colles!$B$2:$B$97))&gt;0,sumproduct((Colles!$A$2:$A$97=$A42),(Colles!N$2:N$97=$B42),(Colles!$B$2:$B$97)),"")</f>
        <v>5</v>
      </c>
      <c r="S42" s="122">
        <f>if(sumproduct((Colles!$A$2:$A$97=$A42),(Colles!O$2:O$97=$B42),(Colles!$B$2:$B$97))&gt;0,sumproduct((Colles!$A$2:$A$97=$A42),(Colles!O$2:O$97=$B42),(Colles!$B$2:$B$97)),"")</f>
        <v>10</v>
      </c>
      <c r="T42" s="32"/>
      <c r="U42" s="32" t="str">
        <f>if(sumproduct((Colles!$A$2:$A$97=$A42),(Colles!Q$2:Q$97=$B42),(Colles!$B$2:$B$97))&gt;0,sumproduct((Colles!$A$2:$A$97=$A42),(Colles!Q$2:Q$97=$B42),(Colles!$B$2:$B$97)),"")</f>
        <v/>
      </c>
      <c r="V42" s="31">
        <f>if(sumproduct((Colles!$A$2:$A$97=$A42),(Colles!R$2:R$97=$B42),(Colles!$B$2:$B$97))&gt;0,sumproduct((Colles!$A$2:$A$97=$A42),(Colles!R$2:R$97=$B42),(Colles!$B$2:$B$97)),"")</f>
        <v>7</v>
      </c>
      <c r="W42" s="122">
        <f>if(sumproduct((Colles!$A$2:$A$97=$A42),(Colles!S$2:S$97=$B42),(Colles!$B$2:$B$97))&gt;0,sumproduct((Colles!$A$2:$A$97=$A42),(Colles!S$2:S$97=$B42),(Colles!$B$2:$B$97)),"")</f>
        <v>14</v>
      </c>
      <c r="Y42" s="6">
        <f t="shared" ref="Y42:Y45" si="21">Y41</f>
        <v>9</v>
      </c>
      <c r="Z42" s="137" t="str">
        <f t="array" ref="Z42">IF(ISERROR(ADDRESS(SUMPRODUCT('Trinômes'!$B$2:$B$48=Y42,'Trinômes'!$C$2:$C$48=COUNTIF(Y$21:Y42,"="&amp;Y42)-1
,ROW('Trinômes'!$A$2:$A$48)),COLUMN('Trinômes'!$A$1)-COLUMN('Trinômes'!$A$1)+1)),"",indirect("Trinômes!"&amp;ADDRESS(SUMPRODUCT('Trinômes'!$B$2:$B$48=Y42,'Trinômes'!$C$2:$C$48=COUNTIF(Y$21:Y42,"="&amp;Y42)-1
,ROW('Trinômes'!$A$2:$A$48)),COLUMN('Trinômes'!$A$1)-COLUMN('Trinômes'!$A$1)+1)))</f>
        <v>LANDRIEU Hugo</v>
      </c>
      <c r="AA42" s="6">
        <f t="shared" ref="AA42:AA45" si="22">AA41</f>
        <v>10</v>
      </c>
      <c r="AB42" s="137" t="str">
        <f t="array" ref="AB42">IF(ISERROR(ADDRESS(SUMPRODUCT('Trinômes'!$B$2:$B$48=AA42,'Trinômes'!$C$2:$C$48=COUNTIF(AA$21:AA42,"="&amp;AA42)-1
,ROW('Trinômes'!$A$2:$A$48)),COLUMN('Trinômes'!$A$1)-COLUMN('Trinômes'!$A$1)+1)),"",indirect("Trinômes!"&amp;ADDRESS(SUMPRODUCT('Trinômes'!$B$2:$B$48=AA42,'Trinômes'!$C$2:$C$48=COUNTIF(AA$21:AA42,"="&amp;AA42)-1
,ROW('Trinômes'!$A$2:$A$48)),COLUMN('Trinômes'!$A$1)-COLUMN('Trinômes'!$A$1)+1)))</f>
        <v>LUMINATI Baptiste</v>
      </c>
    </row>
    <row r="43">
      <c r="A43" s="4" t="str">
        <f>'Créneaux'!I19</f>
        <v>Physique</v>
      </c>
      <c r="B43" s="60">
        <f>'Créneaux'!J19</f>
        <v>2</v>
      </c>
      <c r="C43" s="121" t="str">
        <f>'Créneaux'!K19</f>
        <v>Mme Vives</v>
      </c>
      <c r="D43" s="31" t="str">
        <f>switch('Créneaux'!L19,0,"Lundi",1,"Mardi",2,"Mercredi",3,"Jeudi",4,"Vendredi")</f>
        <v>Jeudi</v>
      </c>
      <c r="E43" s="31" t="str">
        <f>'Créneaux'!M19&amp;"h"</f>
        <v>15h</v>
      </c>
      <c r="F43" s="31" t="str">
        <f>'Créneaux'!N19</f>
        <v>Prépa 23</v>
      </c>
      <c r="G43" s="32" t="str">
        <f>if(sumproduct((Colles!$A$2:$A$97=$A43),(Colles!C$2:C$97=$B43),(Colles!$B$2:$B$97))&gt;0,sumproduct((Colles!$A$2:$A$97=$A43),(Colles!C$2:C$97=$B43),(Colles!$B$2:$B$97)),"")</f>
        <v/>
      </c>
      <c r="H43" s="122">
        <f>if(sumproduct((Colles!$A$2:$A$97=$A43),(Colles!D$2:D$97=$B43),(Colles!$B$2:$B$97))&gt;0,sumproduct((Colles!$A$2:$A$97=$A43),(Colles!D$2:D$97=$B43),(Colles!$B$2:$B$97)),"")</f>
        <v>12</v>
      </c>
      <c r="I43" s="31">
        <f>if(sumproduct((Colles!$A$2:$A$97=$A43),(Colles!E$2:E$97=$B43),(Colles!$B$2:$B$97))&gt;0,sumproduct((Colles!$A$2:$A$97=$A43),(Colles!E$2:E$97=$B43),(Colles!$B$2:$B$97)),"")</f>
        <v>5</v>
      </c>
      <c r="J43" s="122">
        <f>if(sumproduct((Colles!$A$2:$A$97=$A43),(Colles!F$2:F$97=$B43),(Colles!$B$2:$B$97))&gt;0,sumproduct((Colles!$A$2:$A$97=$A43),(Colles!F$2:F$97=$B43),(Colles!$B$2:$B$97)),"")</f>
        <v>4</v>
      </c>
      <c r="K43" s="31">
        <f>if(sumproduct((Colles!$A$2:$A$97=$A43),(Colles!G$2:G$97=$B43),(Colles!$B$2:$B$97))&gt;0,sumproduct((Colles!$A$2:$A$97=$A43),(Colles!G$2:G$97=$B43),(Colles!$B$2:$B$97)),"")</f>
        <v>7</v>
      </c>
      <c r="L43" s="32"/>
      <c r="M43" s="122">
        <f>if(sumproduct((Colles!$A$2:$A$97=$A43),(Colles!I$2:I$97=$B43),(Colles!$B$2:$B$97))&gt;0,sumproduct((Colles!$A$2:$A$97=$A43),(Colles!I$2:I$97=$B43),(Colles!$B$2:$B$97)),"")</f>
        <v>14</v>
      </c>
      <c r="N43" s="31">
        <f>if(sumproduct((Colles!$A$2:$A$97=$A43),(Colles!J$2:J$97=$B43),(Colles!$B$2:$B$97))&gt;0,sumproduct((Colles!$A$2:$A$97=$A43),(Colles!J$2:J$97=$B43),(Colles!$B$2:$B$97)),"")</f>
        <v>11</v>
      </c>
      <c r="O43" s="122">
        <f>if(sumproduct((Colles!$A$2:$A$97=$A43),(Colles!K$2:K$97=$B43),(Colles!$B$2:$B$97))&gt;0,sumproduct((Colles!$A$2:$A$97=$A43),(Colles!K$2:K$97=$B43),(Colles!$B$2:$B$97)),"")</f>
        <v>16</v>
      </c>
      <c r="P43" s="31">
        <f>if(sumproduct((Colles!$A$2:$A$97=$A43),(Colles!L$2:L$97=$B43),(Colles!$B$2:$B$97))&gt;0,sumproduct((Colles!$A$2:$A$97=$A43),(Colles!L$2:L$97=$B43),(Colles!$B$2:$B$97)),"")</f>
        <v>13</v>
      </c>
      <c r="Q43" s="122">
        <f>if(sumproduct((Colles!$A$2:$A$97=$A43),(Colles!M$2:M$97=$B43),(Colles!$B$2:$B$97))&gt;0,sumproduct((Colles!$A$2:$A$97=$A43),(Colles!M$2:M$97=$B43),(Colles!$B$2:$B$97)),"")</f>
        <v>6</v>
      </c>
      <c r="R43" s="31">
        <f>if(sumproduct((Colles!$A$2:$A$97=$A43),(Colles!N$2:N$97=$B43),(Colles!$B$2:$B$97))&gt;0,sumproduct((Colles!$A$2:$A$97=$A43),(Colles!N$2:N$97=$B43),(Colles!$B$2:$B$97)),"")</f>
        <v>11</v>
      </c>
      <c r="S43" s="122">
        <f>if(sumproduct((Colles!$A$2:$A$97=$A43),(Colles!O$2:O$97=$B43),(Colles!$B$2:$B$97))&gt;0,sumproduct((Colles!$A$2:$A$97=$A43),(Colles!O$2:O$97=$B43),(Colles!$B$2:$B$97)),"")</f>
        <v>16</v>
      </c>
      <c r="T43" s="32"/>
      <c r="U43" s="32" t="str">
        <f>if(sumproduct((Colles!$A$2:$A$97=$A43),(Colles!Q$2:Q$97=$B43),(Colles!$B$2:$B$97))&gt;0,sumproduct((Colles!$A$2:$A$97=$A43),(Colles!Q$2:Q$97=$B43),(Colles!$B$2:$B$97)),"")</f>
        <v/>
      </c>
      <c r="V43" s="31">
        <f>if(sumproduct((Colles!$A$2:$A$97=$A43),(Colles!R$2:R$97=$B43),(Colles!$B$2:$B$97))&gt;0,sumproduct((Colles!$A$2:$A$97=$A43),(Colles!R$2:R$97=$B43),(Colles!$B$2:$B$97)),"")</f>
        <v>15</v>
      </c>
      <c r="W43" s="122">
        <f>if(sumproduct((Colles!$A$2:$A$97=$A43),(Colles!S$2:S$97=$B43),(Colles!$B$2:$B$97))&gt;0,sumproduct((Colles!$A$2:$A$97=$A43),(Colles!S$2:S$97=$B43),(Colles!$B$2:$B$97)),"")</f>
        <v>8</v>
      </c>
      <c r="Y43" s="6">
        <f t="shared" si="21"/>
        <v>9</v>
      </c>
      <c r="Z43" s="137" t="str">
        <f t="array" ref="Z43">IF(ISERROR(ADDRESS(SUMPRODUCT('Trinômes'!$B$2:$B$48=Y43,'Trinômes'!$C$2:$C$48=COUNTIF(Y$21:Y43,"="&amp;Y43)-1
,ROW('Trinômes'!$A$2:$A$48)),COLUMN('Trinômes'!$A$1)-COLUMN('Trinômes'!$A$1)+1)),"",indirect("Trinômes!"&amp;ADDRESS(SUMPRODUCT('Trinômes'!$B$2:$B$48=Y43,'Trinômes'!$C$2:$C$48=COUNTIF(Y$21:Y43,"="&amp;Y43)-1
,ROW('Trinômes'!$A$2:$A$48)),COLUMN('Trinômes'!$A$1)-COLUMN('Trinômes'!$A$1)+1)))</f>
        <v>LE CUE Hector</v>
      </c>
      <c r="AA43" s="6">
        <f t="shared" si="22"/>
        <v>10</v>
      </c>
      <c r="AB43" s="137" t="str">
        <f t="array" ref="AB43">IF(ISERROR(ADDRESS(SUMPRODUCT('Trinômes'!$B$2:$B$48=AA43,'Trinômes'!$C$2:$C$48=COUNTIF(AA$21:AA43,"="&amp;AA43)-1
,ROW('Trinômes'!$A$2:$A$48)),COLUMN('Trinômes'!$A$1)-COLUMN('Trinômes'!$A$1)+1)),"",indirect("Trinômes!"&amp;ADDRESS(SUMPRODUCT('Trinômes'!$B$2:$B$48=AA43,'Trinômes'!$C$2:$C$48=COUNTIF(AA$21:AA43,"="&amp;AA43)-1
,ROW('Trinômes'!$A$2:$A$48)),COLUMN('Trinômes'!$A$1)-COLUMN('Trinômes'!$A$1)+1)))</f>
        <v>MAUBOIS Morgane</v>
      </c>
    </row>
    <row r="44">
      <c r="A44" s="4" t="str">
        <f>'Créneaux'!I20</f>
        <v>Physique</v>
      </c>
      <c r="B44" s="60">
        <f>'Créneaux'!J20</f>
        <v>3</v>
      </c>
      <c r="C44" s="121" t="str">
        <f>'Créneaux'!K20</f>
        <v>Mme Pampana</v>
      </c>
      <c r="D44" s="31" t="str">
        <f>switch('Créneaux'!L20,0,"Lundi",1,"Mardi",2,"Mercredi",3,"Jeudi",4,"Vendredi")</f>
        <v>Lundi</v>
      </c>
      <c r="E44" s="31" t="str">
        <f>'Créneaux'!M20&amp;"h"</f>
        <v>17h</v>
      </c>
      <c r="F44" s="31" t="str">
        <f>'Créneaux'!N20</f>
        <v>Prépa 25</v>
      </c>
      <c r="G44" s="32" t="str">
        <f>if(sumproduct((Colles!$A$2:$A$97=$A44),(Colles!C$2:C$97=$B44),(Colles!$B$2:$B$97))&gt;0,sumproduct((Colles!$A$2:$A$97=$A44),(Colles!C$2:C$97=$B44),(Colles!$B$2:$B$97)),"")</f>
        <v/>
      </c>
      <c r="H44" s="122">
        <f>if(sumproduct((Colles!$A$2:$A$97=$A44),(Colles!D$2:D$97=$B44),(Colles!$B$2:$B$97))&gt;0,sumproduct((Colles!$A$2:$A$97=$A44),(Colles!D$2:D$97=$B44),(Colles!$B$2:$B$97)),"")</f>
        <v>4</v>
      </c>
      <c r="I44" s="31">
        <f>if(sumproduct((Colles!$A$2:$A$97=$A44),(Colles!E$2:E$97=$B44),(Colles!$B$2:$B$97))&gt;0,sumproduct((Colles!$A$2:$A$97=$A44),(Colles!E$2:E$97=$B44),(Colles!$B$2:$B$97)),"")</f>
        <v>1</v>
      </c>
      <c r="J44" s="122">
        <f>if(sumproduct((Colles!$A$2:$A$97=$A44),(Colles!F$2:F$97=$B44),(Colles!$B$2:$B$97))&gt;0,sumproduct((Colles!$A$2:$A$97=$A44),(Colles!F$2:F$97=$B44),(Colles!$B$2:$B$97)),"")</f>
        <v>6</v>
      </c>
      <c r="K44" s="31">
        <f>if(sumproduct((Colles!$A$2:$A$97=$A44),(Colles!G$2:G$97=$B44),(Colles!$B$2:$B$97))&gt;0,sumproduct((Colles!$A$2:$A$97=$A44),(Colles!G$2:G$97=$B44),(Colles!$B$2:$B$97)),"")</f>
        <v>15</v>
      </c>
      <c r="L44" s="32"/>
      <c r="M44" s="122">
        <f>if(sumproduct((Colles!$A$2:$A$97=$A44),(Colles!I$2:I$97=$B44),(Colles!$B$2:$B$97))&gt;0,sumproduct((Colles!$A$2:$A$97=$A44),(Colles!I$2:I$97=$B44),(Colles!$B$2:$B$97)),"")</f>
        <v>10</v>
      </c>
      <c r="N44" s="31">
        <f>if(sumproduct((Colles!$A$2:$A$97=$A44),(Colles!J$2:J$97=$B44),(Colles!$B$2:$B$97))&gt;0,sumproduct((Colles!$A$2:$A$97=$A44),(Colles!J$2:J$97=$B44),(Colles!$B$2:$B$97)),"")</f>
        <v>13</v>
      </c>
      <c r="O44" s="122">
        <f>if(sumproduct((Colles!$A$2:$A$97=$A44),(Colles!K$2:K$97=$B44),(Colles!$B$2:$B$97))&gt;0,sumproduct((Colles!$A$2:$A$97=$A44),(Colles!K$2:K$97=$B44),(Colles!$B$2:$B$97)),"")</f>
        <v>14</v>
      </c>
      <c r="P44" s="31">
        <f>if(sumproduct((Colles!$A$2:$A$97=$A44),(Colles!L$2:L$97=$B44),(Colles!$B$2:$B$97))&gt;0,sumproduct((Colles!$A$2:$A$97=$A44),(Colles!L$2:L$97=$B44),(Colles!$B$2:$B$97)),"")</f>
        <v>11</v>
      </c>
      <c r="Q44" s="122">
        <f>if(sumproduct((Colles!$A$2:$A$97=$A44),(Colles!M$2:M$97=$B44),(Colles!$B$2:$B$97))&gt;0,sumproduct((Colles!$A$2:$A$97=$A44),(Colles!M$2:M$97=$B44),(Colles!$B$2:$B$97)),"")</f>
        <v>2</v>
      </c>
      <c r="R44" s="31">
        <f>if(sumproduct((Colles!$A$2:$A$97=$A44),(Colles!N$2:N$97=$B44),(Colles!$B$2:$B$97))&gt;0,sumproduct((Colles!$A$2:$A$97=$A44),(Colles!N$2:N$97=$B44),(Colles!$B$2:$B$97)),"")</f>
        <v>3</v>
      </c>
      <c r="S44" s="122">
        <f>if(sumproduct((Colles!$A$2:$A$97=$A44),(Colles!O$2:O$97=$B44),(Colles!$B$2:$B$97))&gt;0,sumproduct((Colles!$A$2:$A$97=$A44),(Colles!O$2:O$97=$B44),(Colles!$B$2:$B$97)),"")</f>
        <v>4</v>
      </c>
      <c r="T44" s="32"/>
      <c r="U44" s="32" t="str">
        <f>if(sumproduct((Colles!$A$2:$A$97=$A44),(Colles!Q$2:Q$97=$B44),(Colles!$B$2:$B$97))&gt;0,sumproduct((Colles!$A$2:$A$97=$A44),(Colles!Q$2:Q$97=$B44),(Colles!$B$2:$B$97)),"")</f>
        <v/>
      </c>
      <c r="V44" s="31">
        <f>if(sumproduct((Colles!$A$2:$A$97=$A44),(Colles!R$2:R$97=$B44),(Colles!$B$2:$B$97))&gt;0,sumproduct((Colles!$A$2:$A$97=$A44),(Colles!R$2:R$97=$B44),(Colles!$B$2:$B$97)),"")</f>
        <v>5</v>
      </c>
      <c r="W44" s="122">
        <f>if(sumproduct((Colles!$A$2:$A$97=$A44),(Colles!S$2:S$97=$B44),(Colles!$B$2:$B$97))&gt;0,sumproduct((Colles!$A$2:$A$97=$A44),(Colles!S$2:S$97=$B44),(Colles!$B$2:$B$97)),"")</f>
        <v>6</v>
      </c>
      <c r="Y44" s="6">
        <f t="shared" si="21"/>
        <v>9</v>
      </c>
      <c r="Z44" s="137" t="str">
        <f t="array" ref="Z44">IF(ISERROR(ADDRESS(SUMPRODUCT('Trinômes'!$B$2:$B$48=Y44,'Trinômes'!$C$2:$C$48=COUNTIF(Y$21:Y44,"="&amp;Y44)-1
,ROW('Trinômes'!$A$2:$A$48)),COLUMN('Trinômes'!$A$1)-COLUMN('Trinômes'!$A$1)+1)),"",indirect("Trinômes!"&amp;ADDRESS(SUMPRODUCT('Trinômes'!$B$2:$B$48=Y44,'Trinômes'!$C$2:$C$48=COUNTIF(Y$21:Y44,"="&amp;Y44)-1
,ROW('Trinômes'!$A$2:$A$48)),COLUMN('Trinômes'!$A$1)-COLUMN('Trinômes'!$A$1)+1)))</f>
        <v>VIROT--FINET Raphaël</v>
      </c>
      <c r="AA44" s="6">
        <f t="shared" si="22"/>
        <v>10</v>
      </c>
      <c r="AB44" s="137" t="str">
        <f t="array" ref="AB44">IF(ISERROR(ADDRESS(SUMPRODUCT('Trinômes'!$B$2:$B$48=AA44,'Trinômes'!$C$2:$C$48=COUNTIF(AA$21:AA44,"="&amp;AA44)-1
,ROW('Trinômes'!$A$2:$A$48)),COLUMN('Trinômes'!$A$1)-COLUMN('Trinômes'!$A$1)+1)),"",indirect("Trinômes!"&amp;ADDRESS(SUMPRODUCT('Trinômes'!$B$2:$B$48=AA44,'Trinômes'!$C$2:$C$48=COUNTIF(AA$21:AA44,"="&amp;AA44)-1
,ROW('Trinômes'!$A$2:$A$48)),COLUMN('Trinômes'!$A$1)-COLUMN('Trinômes'!$A$1)+1)))</f>
        <v>MION--SANTARELLI Pierre-Ange</v>
      </c>
    </row>
    <row r="45">
      <c r="A45" s="4" t="str">
        <f>'Créneaux'!I21</f>
        <v>Physique</v>
      </c>
      <c r="B45" s="60">
        <f>'Créneaux'!J21</f>
        <v>4</v>
      </c>
      <c r="C45" s="121" t="str">
        <f>'Créneaux'!K21</f>
        <v>Mme Pampana</v>
      </c>
      <c r="D45" s="31" t="str">
        <f>switch('Créneaux'!L21,0,"Lundi",1,"Mardi",2,"Mercredi",3,"Jeudi",4,"Vendredi")</f>
        <v>Jeudi</v>
      </c>
      <c r="E45" s="31" t="str">
        <f>'Créneaux'!M21&amp;"h"</f>
        <v>12h</v>
      </c>
      <c r="F45" s="31" t="str">
        <f>'Créneaux'!N21</f>
        <v>Prépa 22</v>
      </c>
      <c r="G45" s="32" t="str">
        <f>if(sumproduct((Colles!$A$2:$A$97=$A45),(Colles!C$2:C$97=$B45),(Colles!$B$2:$B$97))&gt;0,sumproduct((Colles!$A$2:$A$97=$A45),(Colles!C$2:C$97=$B45),(Colles!$B$2:$B$97)),"")</f>
        <v/>
      </c>
      <c r="H45" s="122">
        <f>if(sumproduct((Colles!$A$2:$A$97=$A45),(Colles!D$2:D$97=$B45),(Colles!$B$2:$B$97))&gt;0,sumproduct((Colles!$A$2:$A$97=$A45),(Colles!D$2:D$97=$B45),(Colles!$B$2:$B$97)),"")</f>
        <v>2</v>
      </c>
      <c r="I45" s="31">
        <f>if(sumproduct((Colles!$A$2:$A$97=$A45),(Colles!E$2:E$97=$B45),(Colles!$B$2:$B$97))&gt;0,sumproduct((Colles!$A$2:$A$97=$A45),(Colles!E$2:E$97=$B45),(Colles!$B$2:$B$97)),"")</f>
        <v>3</v>
      </c>
      <c r="J45" s="122">
        <f>if(sumproduct((Colles!$A$2:$A$97=$A45),(Colles!F$2:F$97=$B45),(Colles!$B$2:$B$97))&gt;0,sumproduct((Colles!$A$2:$A$97=$A45),(Colles!F$2:F$97=$B45),(Colles!$B$2:$B$97)),"")</f>
        <v>8</v>
      </c>
      <c r="K45" s="31">
        <f>if(sumproduct((Colles!$A$2:$A$97=$A45),(Colles!G$2:G$97=$B45),(Colles!$B$2:$B$97))&gt;0,sumproduct((Colles!$A$2:$A$97=$A45),(Colles!G$2:G$97=$B45),(Colles!$B$2:$B$97)),"")</f>
        <v>5</v>
      </c>
      <c r="L45" s="32"/>
      <c r="M45" s="122">
        <f>if(sumproduct((Colles!$A$2:$A$97=$A45),(Colles!I$2:I$97=$B45),(Colles!$B$2:$B$97))&gt;0,sumproduct((Colles!$A$2:$A$97=$A45),(Colles!I$2:I$97=$B45),(Colles!$B$2:$B$97)),"")</f>
        <v>4</v>
      </c>
      <c r="N45" s="31">
        <f>if(sumproduct((Colles!$A$2:$A$97=$A45),(Colles!J$2:J$97=$B45),(Colles!$B$2:$B$97))&gt;0,sumproduct((Colles!$A$2:$A$97=$A45),(Colles!J$2:J$97=$B45),(Colles!$B$2:$B$97)),"")</f>
        <v>1</v>
      </c>
      <c r="O45" s="122">
        <f>if(sumproduct((Colles!$A$2:$A$97=$A45),(Colles!K$2:K$97=$B45),(Colles!$B$2:$B$97))&gt;0,sumproduct((Colles!$A$2:$A$97=$A45),(Colles!K$2:K$97=$B45),(Colles!$B$2:$B$97)),"")</f>
        <v>6</v>
      </c>
      <c r="P45" s="31">
        <f>if(sumproduct((Colles!$A$2:$A$97=$A45),(Colles!L$2:L$97=$B45),(Colles!$B$2:$B$97))&gt;0,sumproduct((Colles!$A$2:$A$97=$A45),(Colles!L$2:L$97=$B45),(Colles!$B$2:$B$97)),"")</f>
        <v>7</v>
      </c>
      <c r="Q45" s="122">
        <f>if(sumproduct((Colles!$A$2:$A$97=$A45),(Colles!M$2:M$97=$B45),(Colles!$B$2:$B$97))&gt;0,sumproduct((Colles!$A$2:$A$97=$A45),(Colles!M$2:M$97=$B45),(Colles!$B$2:$B$97)),"")</f>
        <v>12</v>
      </c>
      <c r="R45" s="31">
        <f>if(sumproduct((Colles!$A$2:$A$97=$A45),(Colles!N$2:N$97=$B45),(Colles!$B$2:$B$97))&gt;0,sumproduct((Colles!$A$2:$A$97=$A45),(Colles!N$2:N$97=$B45),(Colles!$B$2:$B$97)),"")</f>
        <v>13</v>
      </c>
      <c r="S45" s="122">
        <f>if(sumproduct((Colles!$A$2:$A$97=$A45),(Colles!O$2:O$97=$B45),(Colles!$B$2:$B$97))&gt;0,sumproduct((Colles!$A$2:$A$97=$A45),(Colles!O$2:O$97=$B45),(Colles!$B$2:$B$97)),"")</f>
        <v>14</v>
      </c>
      <c r="T45" s="32"/>
      <c r="U45" s="32" t="str">
        <f>if(sumproduct((Colles!$A$2:$A$97=$A45),(Colles!Q$2:Q$97=$B45),(Colles!$B$2:$B$97))&gt;0,sumproduct((Colles!$A$2:$A$97=$A45),(Colles!Q$2:Q$97=$B45),(Colles!$B$2:$B$97)),"")</f>
        <v/>
      </c>
      <c r="V45" s="31">
        <f>if(sumproduct((Colles!$A$2:$A$97=$A45),(Colles!R$2:R$97=$B45),(Colles!$B$2:$B$97))&gt;0,sumproduct((Colles!$A$2:$A$97=$A45),(Colles!R$2:R$97=$B45),(Colles!$B$2:$B$97)),"")</f>
        <v>9</v>
      </c>
      <c r="W45" s="122">
        <f>if(sumproduct((Colles!$A$2:$A$97=$A45),(Colles!S$2:S$97=$B45),(Colles!$B$2:$B$97))&gt;0,sumproduct((Colles!$A$2:$A$97=$A45),(Colles!S$2:S$97=$B45),(Colles!$B$2:$B$97)),"")</f>
        <v>16</v>
      </c>
      <c r="Y45" s="6">
        <f t="shared" si="21"/>
        <v>9</v>
      </c>
      <c r="Z45" s="6"/>
      <c r="AA45" s="6">
        <f t="shared" si="22"/>
        <v>10</v>
      </c>
      <c r="AB45" s="6"/>
    </row>
    <row r="46">
      <c r="A46" s="4" t="str">
        <f>'Créneaux'!I22</f>
        <v>Physique</v>
      </c>
      <c r="B46" s="60">
        <f>'Créneaux'!J22</f>
        <v>5</v>
      </c>
      <c r="C46" s="121" t="str">
        <f>'Créneaux'!K22</f>
        <v>M. Becquet</v>
      </c>
      <c r="D46" s="31" t="str">
        <f>switch('Créneaux'!L22,0,"Lundi",1,"Mardi",2,"Mercredi",3,"Jeudi",4,"Vendredi")</f>
        <v>Jeudi</v>
      </c>
      <c r="E46" s="31" t="str">
        <f>'Créneaux'!M22&amp;"h"</f>
        <v>16h</v>
      </c>
      <c r="F46" s="31" t="str">
        <f>'Créneaux'!N22</f>
        <v>K24</v>
      </c>
      <c r="G46" s="32" t="str">
        <f>if(sumproduct((Colles!$A$2:$A$97=$A46),(Colles!C$2:C$97=$B46),(Colles!$B$2:$B$97))&gt;0,sumproduct((Colles!$A$2:$A$97=$A46),(Colles!C$2:C$97=$B46),(Colles!$B$2:$B$97)),"")</f>
        <v/>
      </c>
      <c r="H46" s="122">
        <f>if(sumproduct((Colles!$A$2:$A$97=$A46),(Colles!D$2:D$97=$B46),(Colles!$B$2:$B$97))&gt;0,sumproduct((Colles!$A$2:$A$97=$A46),(Colles!D$2:D$97=$B46),(Colles!$B$2:$B$97)),"")</f>
        <v>14</v>
      </c>
      <c r="I46" s="31">
        <f>if(sumproduct((Colles!$A$2:$A$97=$A46),(Colles!E$2:E$97=$B46),(Colles!$B$2:$B$97))&gt;0,sumproduct((Colles!$A$2:$A$97=$A46),(Colles!E$2:E$97=$B46),(Colles!$B$2:$B$97)),"")</f>
        <v>13</v>
      </c>
      <c r="J46" s="122">
        <f>if(sumproduct((Colles!$A$2:$A$97=$A46),(Colles!F$2:F$97=$B46),(Colles!$B$2:$B$97))&gt;0,sumproduct((Colles!$A$2:$A$97=$A46),(Colles!F$2:F$97=$B46),(Colles!$B$2:$B$97)),"")</f>
        <v>12</v>
      </c>
      <c r="K46" s="31">
        <f>if(sumproduct((Colles!$A$2:$A$97=$A46),(Colles!G$2:G$97=$B46),(Colles!$B$2:$B$97))&gt;0,sumproduct((Colles!$A$2:$A$97=$A46),(Colles!G$2:G$97=$B46),(Colles!$B$2:$B$97)),"")</f>
        <v>11</v>
      </c>
      <c r="L46" s="32"/>
      <c r="M46" s="122">
        <f>if(sumproduct((Colles!$A$2:$A$97=$A46),(Colles!I$2:I$97=$B46),(Colles!$B$2:$B$97))&gt;0,sumproduct((Colles!$A$2:$A$97=$A46),(Colles!I$2:I$97=$B46),(Colles!$B$2:$B$97)),"")</f>
        <v>6</v>
      </c>
      <c r="N46" s="31">
        <f>if(sumproduct((Colles!$A$2:$A$97=$A46),(Colles!J$2:J$97=$B46),(Colles!$B$2:$B$97))&gt;0,sumproduct((Colles!$A$2:$A$97=$A46),(Colles!J$2:J$97=$B46),(Colles!$B$2:$B$97)),"")</f>
        <v>5</v>
      </c>
      <c r="O46" s="122">
        <f>if(sumproduct((Colles!$A$2:$A$97=$A46),(Colles!K$2:K$97=$B46),(Colles!$B$2:$B$97))&gt;0,sumproduct((Colles!$A$2:$A$97=$A46),(Colles!K$2:K$97=$B46),(Colles!$B$2:$B$97)),"")</f>
        <v>10</v>
      </c>
      <c r="P46" s="31">
        <f>if(sumproduct((Colles!$A$2:$A$97=$A46),(Colles!L$2:L$97=$B46),(Colles!$B$2:$B$97))&gt;0,sumproduct((Colles!$A$2:$A$97=$A46),(Colles!L$2:L$97=$B46),(Colles!$B$2:$B$97)),"")</f>
        <v>3</v>
      </c>
      <c r="Q46" s="122">
        <f>if(sumproduct((Colles!$A$2:$A$97=$A46),(Colles!M$2:M$97=$B46),(Colles!$B$2:$B$97))&gt;0,sumproduct((Colles!$A$2:$A$97=$A46),(Colles!M$2:M$97=$B46),(Colles!$B$2:$B$97)),"")</f>
        <v>16</v>
      </c>
      <c r="R46" s="31">
        <f>if(sumproduct((Colles!$A$2:$A$97=$A46),(Colles!N$2:N$97=$B46),(Colles!$B$2:$B$97))&gt;0,sumproduct((Colles!$A$2:$A$97=$A46),(Colles!N$2:N$97=$B46),(Colles!$B$2:$B$97)),"")</f>
        <v>1</v>
      </c>
      <c r="S46" s="122">
        <f>if(sumproduct((Colles!$A$2:$A$97=$A46),(Colles!O$2:O$97=$B46),(Colles!$B$2:$B$97))&gt;0,sumproduct((Colles!$A$2:$A$97=$A46),(Colles!O$2:O$97=$B46),(Colles!$B$2:$B$97)),"")</f>
        <v>12</v>
      </c>
      <c r="T46" s="32"/>
      <c r="U46" s="32" t="str">
        <f>if(sumproduct((Colles!$A$2:$A$97=$A46),(Colles!Q$2:Q$97=$B46),(Colles!$B$2:$B$97))&gt;0,sumproduct((Colles!$A$2:$A$97=$A46),(Colles!Q$2:Q$97=$B46),(Colles!$B$2:$B$97)),"")</f>
        <v/>
      </c>
      <c r="V46" s="31">
        <f>if(sumproduct((Colles!$A$2:$A$97=$A46),(Colles!R$2:R$97=$B46),(Colles!$B$2:$B$97))&gt;0,sumproduct((Colles!$A$2:$A$97=$A46),(Colles!R$2:R$97=$B46),(Colles!$B$2:$B$97)),"")</f>
        <v>3</v>
      </c>
      <c r="W46" s="122">
        <f>if(sumproduct((Colles!$A$2:$A$97=$A46),(Colles!S$2:S$97=$B46),(Colles!$B$2:$B$97))&gt;0,sumproduct((Colles!$A$2:$A$97=$A46),(Colles!S$2:S$97=$B46),(Colles!$B$2:$B$97)),"")</f>
        <v>2</v>
      </c>
      <c r="Y46" s="6">
        <f>AA41+1</f>
        <v>11</v>
      </c>
      <c r="Z46" s="134" t="str">
        <f>Y46&amp;IF(SUMPRODUCT('Trinômes'!$A$2:$A$48=Z47,'Trinômes'!$D$2:$D$48&lt;&gt;0)+SUMPRODUCT('Trinômes'!$A$2:$A$48=Z48,'Trinômes'!$D$2:$D$48&lt;&gt;0)+SUMPRODUCT('Trinômes'!$A$2:$A$48=Z49,'Trinômes'!$D$2:$D$48&lt;&gt;0)&gt;0," – LV2","")</f>
        <v>11</v>
      </c>
      <c r="AA46" s="135">
        <f>Y46+1</f>
        <v>12</v>
      </c>
      <c r="AB46" s="136" t="str">
        <f>AA46&amp;IF(SUMPRODUCT('Trinômes'!$A$2:$A$48=AB47,'Trinômes'!$D$2:$D$48&lt;&gt;0)+SUMPRODUCT('Trinômes'!$A$2:$A$48=AB48,'Trinômes'!$D$2:$D$48&lt;&gt;0)+SUMPRODUCT('Trinômes'!$A$2:$A$48=AB49,'Trinômes'!$D$2:$D$48&lt;&gt;0)&gt;0," – LV2","")</f>
        <v>12</v>
      </c>
    </row>
    <row r="47">
      <c r="A47" s="4" t="str">
        <f>'Créneaux'!I23</f>
        <v>Physique</v>
      </c>
      <c r="B47" s="60">
        <f>'Créneaux'!J23</f>
        <v>6</v>
      </c>
      <c r="C47" s="121" t="str">
        <f>'Créneaux'!K23</f>
        <v>Mme Wallisky</v>
      </c>
      <c r="D47" s="31" t="str">
        <f>switch('Créneaux'!L23,0,"Lundi",1,"Mardi",2,"Mercredi",3,"Jeudi",4,"Vendredi")</f>
        <v>Jeudi</v>
      </c>
      <c r="E47" s="31" t="str">
        <f>'Créneaux'!M23&amp;"h"</f>
        <v>15h</v>
      </c>
      <c r="F47" s="31" t="str">
        <f>'Créneaux'!N23</f>
        <v>K22</v>
      </c>
      <c r="G47" s="32" t="str">
        <f>if(sumproduct((Colles!$A$2:$A$97=$A47),(Colles!C$2:C$97=$B47),(Colles!$B$2:$B$97))&gt;0,sumproduct((Colles!$A$2:$A$97=$A47),(Colles!C$2:C$97=$B47),(Colles!$B$2:$B$97)),"")</f>
        <v/>
      </c>
      <c r="H47" s="122">
        <f>if(sumproduct((Colles!$A$2:$A$97=$A47),(Colles!D$2:D$97=$B47),(Colles!$B$2:$B$97))&gt;0,sumproduct((Colles!$A$2:$A$97=$A47),(Colles!D$2:D$97=$B47),(Colles!$B$2:$B$97)),"")</f>
        <v>10</v>
      </c>
      <c r="I47" s="31">
        <f>if(sumproduct((Colles!$A$2:$A$97=$A47),(Colles!E$2:E$97=$B47),(Colles!$B$2:$B$97))&gt;0,sumproduct((Colles!$A$2:$A$97=$A47),(Colles!E$2:E$97=$B47),(Colles!$B$2:$B$97)),"")</f>
        <v>11</v>
      </c>
      <c r="J47" s="122">
        <f>if(sumproduct((Colles!$A$2:$A$97=$A47),(Colles!F$2:F$97=$B47),(Colles!$B$2:$B$97))&gt;0,sumproduct((Colles!$A$2:$A$97=$A47),(Colles!F$2:F$97=$B47),(Colles!$B$2:$B$97)),"")</f>
        <v>14</v>
      </c>
      <c r="K47" s="31">
        <f>if(sumproduct((Colles!$A$2:$A$97=$A47),(Colles!G$2:G$97=$B47),(Colles!$B$2:$B$97))&gt;0,sumproduct((Colles!$A$2:$A$97=$A47),(Colles!G$2:G$97=$B47),(Colles!$B$2:$B$97)),"")</f>
        <v>13</v>
      </c>
      <c r="L47" s="32"/>
      <c r="M47" s="122">
        <f>if(sumproduct((Colles!$A$2:$A$97=$A47),(Colles!I$2:I$97=$B47),(Colles!$B$2:$B$97))&gt;0,sumproduct((Colles!$A$2:$A$97=$A47),(Colles!I$2:I$97=$B47),(Colles!$B$2:$B$97)),"")</f>
        <v>12</v>
      </c>
      <c r="N47" s="31">
        <f>if(sumproduct((Colles!$A$2:$A$97=$A47),(Colles!J$2:J$97=$B47),(Colles!$B$2:$B$97))&gt;0,sumproduct((Colles!$A$2:$A$97=$A47),(Colles!J$2:J$97=$B47),(Colles!$B$2:$B$97)),"")</f>
        <v>7</v>
      </c>
      <c r="O47" s="122">
        <f>if(sumproduct((Colles!$A$2:$A$97=$A47),(Colles!K$2:K$97=$B47),(Colles!$B$2:$B$97))&gt;0,sumproduct((Colles!$A$2:$A$97=$A47),(Colles!K$2:K$97=$B47),(Colles!$B$2:$B$97)),"")</f>
        <v>2</v>
      </c>
      <c r="P47" s="31">
        <f>if(sumproduct((Colles!$A$2:$A$97=$A47),(Colles!L$2:L$97=$B47),(Colles!$B$2:$B$97))&gt;0,sumproduct((Colles!$A$2:$A$97=$A47),(Colles!L$2:L$97=$B47),(Colles!$B$2:$B$97)),"")</f>
        <v>15</v>
      </c>
      <c r="Q47" s="122">
        <f>if(sumproduct((Colles!$A$2:$A$97=$A47),(Colles!M$2:M$97=$B47),(Colles!$B$2:$B$97))&gt;0,sumproduct((Colles!$A$2:$A$97=$A47),(Colles!M$2:M$97=$B47),(Colles!$B$2:$B$97)),"")</f>
        <v>10</v>
      </c>
      <c r="R47" s="31">
        <f>if(sumproduct((Colles!$A$2:$A$97=$A47),(Colles!N$2:N$97=$B47),(Colles!$B$2:$B$97))&gt;0,sumproduct((Colles!$A$2:$A$97=$A47),(Colles!N$2:N$97=$B47),(Colles!$B$2:$B$97)),"")</f>
        <v>9</v>
      </c>
      <c r="S47" s="122">
        <f>if(sumproduct((Colles!$A$2:$A$97=$A47),(Colles!O$2:O$97=$B47),(Colles!$B$2:$B$97))&gt;0,sumproduct((Colles!$A$2:$A$97=$A47),(Colles!O$2:O$97=$B47),(Colles!$B$2:$B$97)),"")</f>
        <v>6</v>
      </c>
      <c r="T47" s="32"/>
      <c r="U47" s="32" t="str">
        <f>if(sumproduct((Colles!$A$2:$A$97=$A47),(Colles!Q$2:Q$97=$B47),(Colles!$B$2:$B$97))&gt;0,sumproduct((Colles!$A$2:$A$97=$A47),(Colles!Q$2:Q$97=$B47),(Colles!$B$2:$B$97)),"")</f>
        <v/>
      </c>
      <c r="V47" s="31">
        <f>if(sumproduct((Colles!$A$2:$A$97=$A47),(Colles!R$2:R$97=$B47),(Colles!$B$2:$B$97))&gt;0,sumproduct((Colles!$A$2:$A$97=$A47),(Colles!R$2:R$97=$B47),(Colles!$B$2:$B$97)),"")</f>
        <v>11</v>
      </c>
      <c r="W47" s="122">
        <f>if(sumproduct((Colles!$A$2:$A$97=$A47),(Colles!S$2:S$97=$B47),(Colles!$B$2:$B$97))&gt;0,sumproduct((Colles!$A$2:$A$97=$A47),(Colles!S$2:S$97=$B47),(Colles!$B$2:$B$97)),"")</f>
        <v>4</v>
      </c>
      <c r="Y47" s="6">
        <f t="shared" ref="Y47:Y50" si="23">Y46</f>
        <v>11</v>
      </c>
      <c r="Z47" s="137" t="str">
        <f t="array" ref="Z47">IF(ISERROR(ADDRESS(SUMPRODUCT('Trinômes'!$B$2:$B$48=Y47,'Trinômes'!$C$2:$C$48=COUNTIF(Y$21:Y47,"="&amp;Y47)-1
,ROW('Trinômes'!$A$2:$A$48)),COLUMN('Trinômes'!$A$1)-COLUMN('Trinômes'!$A$1)+1)),"",indirect("Trinômes!"&amp;ADDRESS(SUMPRODUCT('Trinômes'!$B$2:$B$48=Y47,'Trinômes'!$C$2:$C$48=COUNTIF(Y$21:Y47,"="&amp;Y47)-1
,ROW('Trinômes'!$A$2:$A$48)),COLUMN('Trinômes'!$A$1)-COLUMN('Trinômes'!$A$1)+1)))</f>
        <v>MONCHAL Lou</v>
      </c>
      <c r="AA47" s="6">
        <f t="shared" ref="AA47:AA50" si="24">AA46</f>
        <v>12</v>
      </c>
      <c r="AB47" s="137" t="str">
        <f t="array" ref="AB47">IF(ISERROR(ADDRESS(SUMPRODUCT('Trinômes'!$B$2:$B$48=AA47,'Trinômes'!$C$2:$C$48=COUNTIF(AA$21:AA47,"="&amp;AA47)-1
,ROW('Trinômes'!$A$2:$A$48)),COLUMN('Trinômes'!$A$1)-COLUMN('Trinômes'!$A$1)+1)),"",indirect("Trinômes!"&amp;ADDRESS(SUMPRODUCT('Trinômes'!$B$2:$B$48=AA47,'Trinômes'!$C$2:$C$48=COUNTIF(AA$21:AA47,"="&amp;AA47)-1
,ROW('Trinômes'!$A$2:$A$48)),COLUMN('Trinômes'!$A$1)-COLUMN('Trinômes'!$A$1)+1)))</f>
        <v>POURCHIER Manon</v>
      </c>
    </row>
    <row r="48">
      <c r="A48" s="4" t="str">
        <f>'Créneaux'!I24</f>
        <v>Physique</v>
      </c>
      <c r="B48" s="60">
        <f>'Créneaux'!J24</f>
        <v>7</v>
      </c>
      <c r="C48" s="121" t="str">
        <f>'Créneaux'!K24</f>
        <v>Mme Wallisky</v>
      </c>
      <c r="D48" s="31" t="str">
        <f>switch('Créneaux'!L24,0,"Lundi",1,"Mardi",2,"Mercredi",3,"Jeudi",4,"Vendredi")</f>
        <v>Jeudi</v>
      </c>
      <c r="E48" s="31" t="str">
        <f>'Créneaux'!M24&amp;"h"</f>
        <v>16h</v>
      </c>
      <c r="F48" s="31" t="str">
        <f>'Créneaux'!N24</f>
        <v>K22</v>
      </c>
      <c r="G48" s="32" t="str">
        <f>if(sumproduct((Colles!$A$2:$A$97=$A48),(Colles!C$2:C$97=$B48),(Colles!$B$2:$B$97))&gt;0,sumproduct((Colles!$A$2:$A$97=$A48),(Colles!C$2:C$97=$B48),(Colles!$B$2:$B$97)),"")</f>
        <v/>
      </c>
      <c r="H48" s="122">
        <f>if(sumproduct((Colles!$A$2:$A$97=$A48),(Colles!D$2:D$97=$B48),(Colles!$B$2:$B$97))&gt;0,sumproduct((Colles!$A$2:$A$97=$A48),(Colles!D$2:D$97=$B48),(Colles!$B$2:$B$97)),"")</f>
        <v>8</v>
      </c>
      <c r="I48" s="31">
        <f>if(sumproduct((Colles!$A$2:$A$97=$A48),(Colles!E$2:E$97=$B48),(Colles!$B$2:$B$97))&gt;0,sumproduct((Colles!$A$2:$A$97=$A48),(Colles!E$2:E$97=$B48),(Colles!$B$2:$B$97)),"")</f>
        <v>9</v>
      </c>
      <c r="J48" s="122">
        <f>if(sumproduct((Colles!$A$2:$A$97=$A48),(Colles!F$2:F$97=$B48),(Colles!$B$2:$B$97))&gt;0,sumproduct((Colles!$A$2:$A$97=$A48),(Colles!F$2:F$97=$B48),(Colles!$B$2:$B$97)),"")</f>
        <v>2</v>
      </c>
      <c r="K48" s="31">
        <f>if(sumproduct((Colles!$A$2:$A$97=$A48),(Colles!G$2:G$97=$B48),(Colles!$B$2:$B$97))&gt;0,sumproduct((Colles!$A$2:$A$97=$A48),(Colles!G$2:G$97=$B48),(Colles!$B$2:$B$97)),"")</f>
        <v>3</v>
      </c>
      <c r="L48" s="32"/>
      <c r="M48" s="122">
        <f>if(sumproduct((Colles!$A$2:$A$97=$A48),(Colles!I$2:I$97=$B48),(Colles!$B$2:$B$97))&gt;0,sumproduct((Colles!$A$2:$A$97=$A48),(Colles!I$2:I$97=$B48),(Colles!$B$2:$B$97)),"")</f>
        <v>16</v>
      </c>
      <c r="N48" s="31">
        <f>if(sumproduct((Colles!$A$2:$A$97=$A48),(Colles!J$2:J$97=$B48),(Colles!$B$2:$B$97))&gt;0,sumproduct((Colles!$A$2:$A$97=$A48),(Colles!J$2:J$97=$B48),(Colles!$B$2:$B$97)),"")</f>
        <v>9</v>
      </c>
      <c r="O48" s="122">
        <f>if(sumproduct((Colles!$A$2:$A$97=$A48),(Colles!K$2:K$97=$B48),(Colles!$B$2:$B$97))&gt;0,sumproduct((Colles!$A$2:$A$97=$A48),(Colles!K$2:K$97=$B48),(Colles!$B$2:$B$97)),"")</f>
        <v>4</v>
      </c>
      <c r="P48" s="31">
        <f>if(sumproduct((Colles!$A$2:$A$97=$A48),(Colles!L$2:L$97=$B48),(Colles!$B$2:$B$97))&gt;0,sumproduct((Colles!$A$2:$A$97=$A48),(Colles!L$2:L$97=$B48),(Colles!$B$2:$B$97)),"")</f>
        <v>5</v>
      </c>
      <c r="Q48" s="122">
        <f>if(sumproduct((Colles!$A$2:$A$97=$A48),(Colles!M$2:M$97=$B48),(Colles!$B$2:$B$97))&gt;0,sumproduct((Colles!$A$2:$A$97=$A48),(Colles!M$2:M$97=$B48),(Colles!$B$2:$B$97)),"")</f>
        <v>14</v>
      </c>
      <c r="R48" s="31">
        <f>if(sumproduct((Colles!$A$2:$A$97=$A48),(Colles!N$2:N$97=$B48),(Colles!$B$2:$B$97))&gt;0,sumproduct((Colles!$A$2:$A$97=$A48),(Colles!N$2:N$97=$B48),(Colles!$B$2:$B$97)),"")</f>
        <v>15</v>
      </c>
      <c r="S48" s="122">
        <f>if(sumproduct((Colles!$A$2:$A$97=$A48),(Colles!O$2:O$97=$B48),(Colles!$B$2:$B$97))&gt;0,sumproduct((Colles!$A$2:$A$97=$A48),(Colles!O$2:O$97=$B48),(Colles!$B$2:$B$97)),"")</f>
        <v>8</v>
      </c>
      <c r="T48" s="32"/>
      <c r="U48" s="32" t="str">
        <f>if(sumproduct((Colles!$A$2:$A$97=$A48),(Colles!Q$2:Q$97=$B48),(Colles!$B$2:$B$97))&gt;0,sumproduct((Colles!$A$2:$A$97=$A48),(Colles!Q$2:Q$97=$B48),(Colles!$B$2:$B$97)),"")</f>
        <v/>
      </c>
      <c r="V48" s="31">
        <f>if(sumproduct((Colles!$A$2:$A$97=$A48),(Colles!R$2:R$97=$B48),(Colles!$B$2:$B$97))&gt;0,sumproduct((Colles!$A$2:$A$97=$A48),(Colles!R$2:R$97=$B48),(Colles!$B$2:$B$97)),"")</f>
        <v>13</v>
      </c>
      <c r="W48" s="122">
        <f>if(sumproduct((Colles!$A$2:$A$97=$A48),(Colles!S$2:S$97=$B48),(Colles!$B$2:$B$97))&gt;0,sumproduct((Colles!$A$2:$A$97=$A48),(Colles!S$2:S$97=$B48),(Colles!$B$2:$B$97)),"")</f>
        <v>12</v>
      </c>
      <c r="Y48" s="6">
        <f t="shared" si="23"/>
        <v>11</v>
      </c>
      <c r="Z48" s="137" t="str">
        <f t="array" ref="Z48">IF(ISERROR(ADDRESS(SUMPRODUCT('Trinômes'!$B$2:$B$48=Y48,'Trinômes'!$C$2:$C$48=COUNTIF(Y$21:Y48,"="&amp;Y48)-1
,ROW('Trinômes'!$A$2:$A$48)),COLUMN('Trinômes'!$A$1)-COLUMN('Trinômes'!$A$1)+1)),"",indirect("Trinômes!"&amp;ADDRESS(SUMPRODUCT('Trinômes'!$B$2:$B$48=Y48,'Trinômes'!$C$2:$C$48=COUNTIF(Y$21:Y48,"="&amp;Y48)-1
,ROW('Trinômes'!$A$2:$A$48)),COLUMN('Trinômes'!$A$1)-COLUMN('Trinômes'!$A$1)+1)))</f>
        <v>PERRIN Ornella</v>
      </c>
      <c r="AA48" s="6">
        <f t="shared" si="24"/>
        <v>12</v>
      </c>
      <c r="AB48" s="137" t="str">
        <f t="array" ref="AB48">IF(ISERROR(ADDRESS(SUMPRODUCT('Trinômes'!$B$2:$B$48=AA48,'Trinômes'!$C$2:$C$48=COUNTIF(AA$21:AA48,"="&amp;AA48)-1
,ROW('Trinômes'!$A$2:$A$48)),COLUMN('Trinômes'!$A$1)-COLUMN('Trinômes'!$A$1)+1)),"",indirect("Trinômes!"&amp;ADDRESS(SUMPRODUCT('Trinômes'!$B$2:$B$48=AA48,'Trinômes'!$C$2:$C$48=COUNTIF(AA$21:AA48,"="&amp;AA48)-1
,ROW('Trinômes'!$A$2:$A$48)),COLUMN('Trinômes'!$A$1)-COLUMN('Trinômes'!$A$1)+1)))</f>
        <v>RAITORE Maya</v>
      </c>
    </row>
    <row r="49">
      <c r="A49" s="4" t="str">
        <f>'Créneaux'!I25</f>
        <v>Physique</v>
      </c>
      <c r="B49" s="60">
        <f>'Créneaux'!J25</f>
        <v>8</v>
      </c>
      <c r="C49" s="121" t="str">
        <f>'Créneaux'!K25</f>
        <v>M. Ackermann</v>
      </c>
      <c r="D49" s="31" t="str">
        <f>switch('Créneaux'!L25,0,"Lundi",1,"Mardi",2,"Mercredi",3,"Jeudi",4,"Vendredi")</f>
        <v>Mercredi</v>
      </c>
      <c r="E49" s="31" t="str">
        <f>'Créneaux'!M25&amp;"h"</f>
        <v>16h</v>
      </c>
      <c r="F49" s="31" t="str">
        <f>'Créneaux'!N25</f>
        <v>Prépa 10</v>
      </c>
      <c r="G49" s="32" t="str">
        <f>if(sumproduct((Colles!$A$2:$A$97=$A49),(Colles!C$2:C$97=$B49),(Colles!$B$2:$B$97))&gt;0,sumproduct((Colles!$A$2:$A$97=$A49),(Colles!C$2:C$97=$B49),(Colles!$B$2:$B$97)),"")</f>
        <v/>
      </c>
      <c r="H49" s="122">
        <f>if(sumproduct((Colles!$A$2:$A$97=$A49),(Colles!D$2:D$97=$B49),(Colles!$B$2:$B$97))&gt;0,sumproduct((Colles!$A$2:$A$97=$A49),(Colles!D$2:D$97=$B49),(Colles!$B$2:$B$97)),"")</f>
        <v>6</v>
      </c>
      <c r="I49" s="31">
        <f>if(sumproduct((Colles!$A$2:$A$97=$A49),(Colles!E$2:E$97=$B49),(Colles!$B$2:$B$97))&gt;0,sumproduct((Colles!$A$2:$A$97=$A49),(Colles!E$2:E$97=$B49),(Colles!$B$2:$B$97)),"")</f>
        <v>7</v>
      </c>
      <c r="J49" s="122">
        <f>if(sumproduct((Colles!$A$2:$A$97=$A49),(Colles!F$2:F$97=$B49),(Colles!$B$2:$B$97))&gt;0,sumproduct((Colles!$A$2:$A$97=$A49),(Colles!F$2:F$97=$B49),(Colles!$B$2:$B$97)),"")</f>
        <v>16</v>
      </c>
      <c r="K49" s="31">
        <f>if(sumproduct((Colles!$A$2:$A$97=$A49),(Colles!G$2:G$97=$B49),(Colles!$B$2:$B$97))&gt;0,sumproduct((Colles!$A$2:$A$97=$A49),(Colles!G$2:G$97=$B49),(Colles!$B$2:$B$97)),"")</f>
        <v>1</v>
      </c>
      <c r="L49" s="32"/>
      <c r="M49" s="122">
        <f>if(sumproduct((Colles!$A$2:$A$97=$A49),(Colles!I$2:I$97=$B49),(Colles!$B$2:$B$97))&gt;0,sumproduct((Colles!$A$2:$A$97=$A49),(Colles!I$2:I$97=$B49),(Colles!$B$2:$B$97)),"")</f>
        <v>8</v>
      </c>
      <c r="N49" s="31">
        <f>if(sumproduct((Colles!$A$2:$A$97=$A49),(Colles!J$2:J$97=$B49),(Colles!$B$2:$B$97))&gt;0,sumproduct((Colles!$A$2:$A$97=$A49),(Colles!J$2:J$97=$B49),(Colles!$B$2:$B$97)),"")</f>
        <v>15</v>
      </c>
      <c r="O49" s="122">
        <f>if(sumproduct((Colles!$A$2:$A$97=$A49),(Colles!K$2:K$97=$B49),(Colles!$B$2:$B$97))&gt;0,sumproduct((Colles!$A$2:$A$97=$A49),(Colles!K$2:K$97=$B49),(Colles!$B$2:$B$97)),"")</f>
        <v>12</v>
      </c>
      <c r="P49" s="31">
        <f>if(sumproduct((Colles!$A$2:$A$97=$A49),(Colles!L$2:L$97=$B49),(Colles!$B$2:$B$97))&gt;0,sumproduct((Colles!$A$2:$A$97=$A49),(Colles!L$2:L$97=$B49),(Colles!$B$2:$B$97)),"")</f>
        <v>9</v>
      </c>
      <c r="Q49" s="122">
        <f>if(sumproduct((Colles!$A$2:$A$97=$A49),(Colles!M$2:M$97=$B49),(Colles!$B$2:$B$97))&gt;0,sumproduct((Colles!$A$2:$A$97=$A49),(Colles!M$2:M$97=$B49),(Colles!$B$2:$B$97)),"")</f>
        <v>8</v>
      </c>
      <c r="R49" s="31">
        <f>if(sumproduct((Colles!$A$2:$A$97=$A49),(Colles!N$2:N$97=$B49),(Colles!$B$2:$B$97))&gt;0,sumproduct((Colles!$A$2:$A$97=$A49),(Colles!N$2:N$97=$B49),(Colles!$B$2:$B$97)),"")</f>
        <v>7</v>
      </c>
      <c r="S49" s="122">
        <f>if(sumproduct((Colles!$A$2:$A$97=$A49),(Colles!O$2:O$97=$B49),(Colles!$B$2:$B$97))&gt;0,sumproduct((Colles!$A$2:$A$97=$A49),(Colles!O$2:O$97=$B49),(Colles!$B$2:$B$97)),"")</f>
        <v>2</v>
      </c>
      <c r="T49" s="32"/>
      <c r="U49" s="32" t="str">
        <f>if(sumproduct((Colles!$A$2:$A$97=$A49),(Colles!Q$2:Q$97=$B49),(Colles!$B$2:$B$97))&gt;0,sumproduct((Colles!$A$2:$A$97=$A49),(Colles!Q$2:Q$97=$B49),(Colles!$B$2:$B$97)),"")</f>
        <v/>
      </c>
      <c r="V49" s="31">
        <f>if(sumproduct((Colles!$A$2:$A$97=$A49),(Colles!R$2:R$97=$B49),(Colles!$B$2:$B$97))&gt;0,sumproduct((Colles!$A$2:$A$97=$A49),(Colles!R$2:R$97=$B49),(Colles!$B$2:$B$97)),"")</f>
        <v>1</v>
      </c>
      <c r="W49" s="122">
        <f>if(sumproduct((Colles!$A$2:$A$97=$A49),(Colles!S$2:S$97=$B49),(Colles!$B$2:$B$97))&gt;0,sumproduct((Colles!$A$2:$A$97=$A49),(Colles!S$2:S$97=$B49),(Colles!$B$2:$B$97)),"")</f>
        <v>10</v>
      </c>
      <c r="Y49" s="6">
        <f t="shared" si="23"/>
        <v>11</v>
      </c>
      <c r="Z49" s="137" t="str">
        <f t="array" ref="Z49">IF(ISERROR(ADDRESS(SUMPRODUCT('Trinômes'!$B$2:$B$48=Y49,'Trinômes'!$C$2:$C$48=COUNTIF(Y$21:Y49,"="&amp;Y49)-1
,ROW('Trinômes'!$A$2:$A$48)),COLUMN('Trinômes'!$A$1)-COLUMN('Trinômes'!$A$1)+1)),"",indirect("Trinômes!"&amp;ADDRESS(SUMPRODUCT('Trinômes'!$B$2:$B$48=Y49,'Trinômes'!$C$2:$C$48=COUNTIF(Y$21:Y49,"="&amp;Y49)-1
,ROW('Trinômes'!$A$2:$A$48)),COLUMN('Trinômes'!$A$1)-COLUMN('Trinômes'!$A$1)+1)))</f>
        <v>PHILIPPOT Ilian</v>
      </c>
      <c r="AA49" s="6">
        <f t="shared" si="24"/>
        <v>12</v>
      </c>
      <c r="AB49" s="137" t="str">
        <f t="array" ref="AB49">IF(ISERROR(ADDRESS(SUMPRODUCT('Trinômes'!$B$2:$B$48=AA49,'Trinômes'!$C$2:$C$48=COUNTIF(AA$21:AA49,"="&amp;AA49)-1
,ROW('Trinômes'!$A$2:$A$48)),COLUMN('Trinômes'!$A$1)-COLUMN('Trinômes'!$A$1)+1)),"",indirect("Trinômes!"&amp;ADDRESS(SUMPRODUCT('Trinômes'!$B$2:$B$48=AA49,'Trinômes'!$C$2:$C$48=COUNTIF(AA$21:AA49,"="&amp;AA49)-1
,ROW('Trinômes'!$A$2:$A$48)),COLUMN('Trinômes'!$A$1)-COLUMN('Trinômes'!$A$1)+1)))</f>
        <v>RAKOTOARIVELO Yann</v>
      </c>
    </row>
    <row r="50">
      <c r="A50" s="4"/>
      <c r="C50" s="144" t="str">
        <f>A51</f>
        <v>Chimie</v>
      </c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Y50" s="6">
        <f t="shared" si="23"/>
        <v>11</v>
      </c>
      <c r="Z50" s="6"/>
      <c r="AA50" s="6">
        <f t="shared" si="24"/>
        <v>12</v>
      </c>
      <c r="AB50" s="6"/>
    </row>
    <row r="51">
      <c r="A51" s="4" t="str">
        <f>'Créneaux'!I26</f>
        <v>Chimie</v>
      </c>
      <c r="B51" s="60">
        <f>'Créneaux'!J26</f>
        <v>1</v>
      </c>
      <c r="C51" s="121" t="str">
        <f>'Créneaux'!K26</f>
        <v>M. Hansen</v>
      </c>
      <c r="D51" s="31" t="str">
        <f>switch('Créneaux'!L26,0,"Lundi",1,"Mardi",2,"Mercredi",3,"Jeudi",4,"Vendredi")</f>
        <v>Mardi</v>
      </c>
      <c r="E51" s="31" t="str">
        <f>'Créneaux'!M26&amp;"h"</f>
        <v>17h</v>
      </c>
      <c r="F51" s="31" t="str">
        <f>'Créneaux'!N26</f>
        <v>Prépa 22</v>
      </c>
      <c r="G51" s="32" t="str">
        <f>if(sumproduct((Colles!$A$2:$A$97=$A51),(Colles!C$2:C$97=$B51),(Colles!$B$2:$B$97))&gt;0,sumproduct((Colles!$A$2:$A$97=$A51),(Colles!C$2:C$97=$B51),(Colles!$B$2:$B$97)),"")</f>
        <v/>
      </c>
      <c r="H51" s="122">
        <f>if(sumproduct((Colles!$A$2:$A$97=$A51),(Colles!D$2:D$97=$B51),(Colles!$B$2:$B$97))&gt;0,sumproduct((Colles!$A$2:$A$97=$A51),(Colles!D$2:D$97=$B51),(Colles!$B$2:$B$97)),"")</f>
        <v>16</v>
      </c>
      <c r="I51" s="31">
        <f>if(sumproduct((Colles!$A$2:$A$97=$A51),(Colles!E$2:E$97=$B51),(Colles!$B$2:$B$97))&gt;0,sumproduct((Colles!$A$2:$A$97=$A51),(Colles!E$2:E$97=$B51),(Colles!$B$2:$B$97)),"")</f>
        <v>15</v>
      </c>
      <c r="J51" s="122">
        <f>if(sumproduct((Colles!$A$2:$A$97=$A51),(Colles!F$2:F$97=$B51),(Colles!$B$2:$B$97))&gt;0,sumproduct((Colles!$A$2:$A$97=$A51),(Colles!F$2:F$97=$B51),(Colles!$B$2:$B$97)),"")</f>
        <v>10</v>
      </c>
      <c r="K51" s="31">
        <f>if(sumproduct((Colles!$A$2:$A$97=$A51),(Colles!G$2:G$97=$B51),(Colles!$B$2:$B$97))&gt;0,sumproduct((Colles!$A$2:$A$97=$A51),(Colles!G$2:G$97=$B51),(Colles!$B$2:$B$97)),"")</f>
        <v>9</v>
      </c>
      <c r="L51" s="32"/>
      <c r="M51" s="122">
        <f>if(sumproduct((Colles!$A$2:$A$97=$A51),(Colles!I$2:I$97=$B51),(Colles!$B$2:$B$97))&gt;0,sumproduct((Colles!$A$2:$A$97=$A51),(Colles!I$2:I$97=$B51),(Colles!$B$2:$B$97)),"")</f>
        <v>2</v>
      </c>
      <c r="N51" s="31">
        <f>if(sumproduct((Colles!$A$2:$A$97=$A51),(Colles!J$2:J$97=$B51),(Colles!$B$2:$B$97))&gt;0,sumproduct((Colles!$A$2:$A$97=$A51),(Colles!J$2:J$97=$B51),(Colles!$B$2:$B$97)),"")</f>
        <v>3</v>
      </c>
      <c r="O51" s="122">
        <f>if(sumproduct((Colles!$A$2:$A$97=$A51),(Colles!K$2:K$97=$B51),(Colles!$B$2:$B$97))&gt;0,sumproduct((Colles!$A$2:$A$97=$A51),(Colles!K$2:K$97=$B51),(Colles!$B$2:$B$97)),"")</f>
        <v>8</v>
      </c>
      <c r="P51" s="31">
        <f>if(sumproduct((Colles!$A$2:$A$97=$A51),(Colles!L$2:L$97=$B51),(Colles!$B$2:$B$97))&gt;0,sumproduct((Colles!$A$2:$A$97=$A51),(Colles!L$2:L$97=$B51),(Colles!$B$2:$B$97)),"")</f>
        <v>1</v>
      </c>
      <c r="Q51" s="122">
        <f>if(sumproduct((Colles!$A$2:$A$97=$A51),(Colles!M$2:M$97=$B51),(Colles!$B$2:$B$97))&gt;0,sumproduct((Colles!$A$2:$A$97=$A51),(Colles!M$2:M$97=$B51),(Colles!$B$2:$B$97)),"")</f>
        <v>4</v>
      </c>
      <c r="R51" s="31">
        <f>if(sumproduct((Colles!$A$2:$A$97=$A51),(Colles!N$2:N$97=$B51),(Colles!$B$2:$B$97))&gt;0,sumproduct((Colles!$A$2:$A$97=$A51),(Colles!N$2:N$97=$B51),(Colles!$B$2:$B$97)),"")</f>
        <v>5</v>
      </c>
      <c r="S51" s="122">
        <f>if(sumproduct((Colles!$A$2:$A$97=$A51),(Colles!O$2:O$97=$B51),(Colles!$B$2:$B$97))&gt;0,sumproduct((Colles!$A$2:$A$97=$A51),(Colles!O$2:O$97=$B51),(Colles!$B$2:$B$97)),"")</f>
        <v>10</v>
      </c>
      <c r="T51" s="32"/>
      <c r="U51" s="32" t="str">
        <f>if(sumproduct((Colles!$A$2:$A$97=$A51),(Colles!Q$2:Q$97=$B51),(Colles!$B$2:$B$97))&gt;0,sumproduct((Colles!$A$2:$A$97=$A51),(Colles!Q$2:Q$97=$B51),(Colles!$B$2:$B$97)),"")</f>
        <v/>
      </c>
      <c r="V51" s="31">
        <f>if(sumproduct((Colles!$A$2:$A$97=$A51),(Colles!R$2:R$97=$B51),(Colles!$B$2:$B$97))&gt;0,sumproduct((Colles!$A$2:$A$97=$A51),(Colles!R$2:R$97=$B51),(Colles!$B$2:$B$97)),"")</f>
        <v>7</v>
      </c>
      <c r="W51" s="122">
        <f>if(sumproduct((Colles!$A$2:$A$97=$A51),(Colles!S$2:S$97=$B51),(Colles!$B$2:$B$97))&gt;0,sumproduct((Colles!$A$2:$A$97=$A51),(Colles!S$2:S$97=$B51),(Colles!$B$2:$B$97)),"")</f>
        <v>14</v>
      </c>
      <c r="Y51" s="6">
        <f>AA46+1</f>
        <v>13</v>
      </c>
      <c r="Z51" s="134" t="str">
        <f>Y51&amp;IF(SUMPRODUCT('Trinômes'!$A$2:$A$48=Z52,'Trinômes'!$D$2:$D$48&lt;&gt;0)+SUMPRODUCT('Trinômes'!$A$2:$A$48=Z53,'Trinômes'!$D$2:$D$48&lt;&gt;0)+SUMPRODUCT('Trinômes'!$A$2:$A$48=Z54,'Trinômes'!$D$2:$D$48&lt;&gt;0)&gt;0," – LV2","")</f>
        <v>13</v>
      </c>
      <c r="AA51" s="135">
        <f>Y51+1</f>
        <v>14</v>
      </c>
      <c r="AB51" s="136" t="str">
        <f>AA51&amp;IF(SUMPRODUCT('Trinômes'!$A$2:$A$48=AB52,'Trinômes'!$D$2:$D$48&lt;&gt;0)+SUMPRODUCT('Trinômes'!$A$2:$A$48=AB53,'Trinômes'!$D$2:$D$48&lt;&gt;0)+SUMPRODUCT('Trinômes'!$A$2:$A$48=AB54,'Trinômes'!$D$2:$D$48&lt;&gt;0)&gt;0," – LV2","")</f>
        <v>14</v>
      </c>
    </row>
    <row r="52">
      <c r="A52" s="4" t="str">
        <f>'Créneaux'!I27</f>
        <v>Chimie</v>
      </c>
      <c r="B52" s="60">
        <f>'Créneaux'!J27</f>
        <v>2</v>
      </c>
      <c r="C52" s="121" t="str">
        <f>'Créneaux'!K27</f>
        <v>M. Hansen</v>
      </c>
      <c r="D52" s="31" t="str">
        <f>switch('Créneaux'!L27,0,"Lundi",1,"Mardi",2,"Mercredi",3,"Jeudi",4,"Vendredi")</f>
        <v>Mardi</v>
      </c>
      <c r="E52" s="31" t="str">
        <f>'Créneaux'!M27&amp;"h"</f>
        <v>18h</v>
      </c>
      <c r="F52" s="31" t="str">
        <f>'Créneaux'!N27</f>
        <v>Prépa 22</v>
      </c>
      <c r="G52" s="32" t="str">
        <f>if(sumproduct((Colles!$A$2:$A$97=$A52),(Colles!C$2:C$97=$B52),(Colles!$B$2:$B$97))&gt;0,sumproduct((Colles!$A$2:$A$97=$A52),(Colles!C$2:C$97=$B52),(Colles!$B$2:$B$97)),"")</f>
        <v/>
      </c>
      <c r="H52" s="122">
        <f>if(sumproduct((Colles!$A$2:$A$97=$A52),(Colles!D$2:D$97=$B52),(Colles!$B$2:$B$97))&gt;0,sumproduct((Colles!$A$2:$A$97=$A52),(Colles!D$2:D$97=$B52),(Colles!$B$2:$B$97)),"")</f>
        <v>14</v>
      </c>
      <c r="I52" s="31">
        <f>if(sumproduct((Colles!$A$2:$A$97=$A52),(Colles!E$2:E$97=$B52),(Colles!$B$2:$B$97))&gt;0,sumproduct((Colles!$A$2:$A$97=$A52),(Colles!E$2:E$97=$B52),(Colles!$B$2:$B$97)),"")</f>
        <v>13</v>
      </c>
      <c r="J52" s="122">
        <f>if(sumproduct((Colles!$A$2:$A$97=$A52),(Colles!F$2:F$97=$B52),(Colles!$B$2:$B$97))&gt;0,sumproduct((Colles!$A$2:$A$97=$A52),(Colles!F$2:F$97=$B52),(Colles!$B$2:$B$97)),"")</f>
        <v>12</v>
      </c>
      <c r="K52" s="31">
        <f>if(sumproduct((Colles!$A$2:$A$97=$A52),(Colles!G$2:G$97=$B52),(Colles!$B$2:$B$97))&gt;0,sumproduct((Colles!$A$2:$A$97=$A52),(Colles!G$2:G$97=$B52),(Colles!$B$2:$B$97)),"")</f>
        <v>11</v>
      </c>
      <c r="L52" s="32"/>
      <c r="M52" s="122">
        <f>if(sumproduct((Colles!$A$2:$A$97=$A52),(Colles!I$2:I$97=$B52),(Colles!$B$2:$B$97))&gt;0,sumproduct((Colles!$A$2:$A$97=$A52),(Colles!I$2:I$97=$B52),(Colles!$B$2:$B$97)),"")</f>
        <v>6</v>
      </c>
      <c r="N52" s="31">
        <f>if(sumproduct((Colles!$A$2:$A$97=$A52),(Colles!J$2:J$97=$B52),(Colles!$B$2:$B$97))&gt;0,sumproduct((Colles!$A$2:$A$97=$A52),(Colles!J$2:J$97=$B52),(Colles!$B$2:$B$97)),"")</f>
        <v>5</v>
      </c>
      <c r="O52" s="122">
        <f>if(sumproduct((Colles!$A$2:$A$97=$A52),(Colles!K$2:K$97=$B52),(Colles!$B$2:$B$97))&gt;0,sumproduct((Colles!$A$2:$A$97=$A52),(Colles!K$2:K$97=$B52),(Colles!$B$2:$B$97)),"")</f>
        <v>10</v>
      </c>
      <c r="P52" s="31">
        <f>if(sumproduct((Colles!$A$2:$A$97=$A52),(Colles!L$2:L$97=$B52),(Colles!$B$2:$B$97))&gt;0,sumproduct((Colles!$A$2:$A$97=$A52),(Colles!L$2:L$97=$B52),(Colles!$B$2:$B$97)),"")</f>
        <v>3</v>
      </c>
      <c r="Q52" s="122">
        <f>if(sumproduct((Colles!$A$2:$A$97=$A52),(Colles!M$2:M$97=$B52),(Colles!$B$2:$B$97))&gt;0,sumproduct((Colles!$A$2:$A$97=$A52),(Colles!M$2:M$97=$B52),(Colles!$B$2:$B$97)),"")</f>
        <v>16</v>
      </c>
      <c r="R52" s="31">
        <f>if(sumproduct((Colles!$A$2:$A$97=$A52),(Colles!N$2:N$97=$B52),(Colles!$B$2:$B$97))&gt;0,sumproduct((Colles!$A$2:$A$97=$A52),(Colles!N$2:N$97=$B52),(Colles!$B$2:$B$97)),"")</f>
        <v>1</v>
      </c>
      <c r="S52" s="122">
        <f>if(sumproduct((Colles!$A$2:$A$97=$A52),(Colles!O$2:O$97=$B52),(Colles!$B$2:$B$97))&gt;0,sumproduct((Colles!$A$2:$A$97=$A52),(Colles!O$2:O$97=$B52),(Colles!$B$2:$B$97)),"")</f>
        <v>12</v>
      </c>
      <c r="T52" s="32"/>
      <c r="U52" s="32" t="str">
        <f>if(sumproduct((Colles!$A$2:$A$97=$A52),(Colles!Q$2:Q$97=$B52),(Colles!$B$2:$B$97))&gt;0,sumproduct((Colles!$A$2:$A$97=$A52),(Colles!Q$2:Q$97=$B52),(Colles!$B$2:$B$97)),"")</f>
        <v/>
      </c>
      <c r="V52" s="31">
        <f>if(sumproduct((Colles!$A$2:$A$97=$A52),(Colles!R$2:R$97=$B52),(Colles!$B$2:$B$97))&gt;0,sumproduct((Colles!$A$2:$A$97=$A52),(Colles!R$2:R$97=$B52),(Colles!$B$2:$B$97)),"")</f>
        <v>3</v>
      </c>
      <c r="W52" s="122">
        <f>if(sumproduct((Colles!$A$2:$A$97=$A52),(Colles!S$2:S$97=$B52),(Colles!$B$2:$B$97))&gt;0,sumproduct((Colles!$A$2:$A$97=$A52),(Colles!S$2:S$97=$B52),(Colles!$B$2:$B$97)),"")</f>
        <v>2</v>
      </c>
      <c r="Y52" s="6">
        <f t="shared" ref="Y52:Y55" si="25">Y51</f>
        <v>13</v>
      </c>
      <c r="Z52" s="137" t="str">
        <f t="array" ref="Z52">IF(ISERROR(ADDRESS(SUMPRODUCT('Trinômes'!$B$2:$B$48=Y52,'Trinômes'!$C$2:$C$48=COUNTIF(Y$21:Y52,"="&amp;Y52)-1
,ROW('Trinômes'!$A$2:$A$48)),COLUMN('Trinômes'!$A$1)-COLUMN('Trinômes'!$A$1)+1)),"",indirect("Trinômes!"&amp;ADDRESS(SUMPRODUCT('Trinômes'!$B$2:$B$48=Y52,'Trinômes'!$C$2:$C$48=COUNTIF(Y$21:Y52,"="&amp;Y52)-1
,ROW('Trinômes'!$A$2:$A$48)),COLUMN('Trinômes'!$A$1)-COLUMN('Trinômes'!$A$1)+1)))</f>
        <v>RASTORGUEFF-RAYBAUD Bastien</v>
      </c>
      <c r="AA52" s="6">
        <f t="shared" ref="AA52:AA55" si="26">AA51</f>
        <v>14</v>
      </c>
      <c r="AB52" s="137" t="str">
        <f t="array" ref="AB52">IF(ISERROR(ADDRESS(SUMPRODUCT('Trinômes'!$B$2:$B$48=AA52,'Trinômes'!$C$2:$C$48=COUNTIF(AA$21:AA52,"="&amp;AA52)-1
,ROW('Trinômes'!$A$2:$A$48)),COLUMN('Trinômes'!$A$1)-COLUMN('Trinômes'!$A$1)+1)),"",indirect("Trinômes!"&amp;ADDRESS(SUMPRODUCT('Trinômes'!$B$2:$B$48=AA52,'Trinômes'!$C$2:$C$48=COUNTIF(AA$21:AA52,"="&amp;AA52)-1
,ROW('Trinômes'!$A$2:$A$48)),COLUMN('Trinômes'!$A$1)-COLUMN('Trinômes'!$A$1)+1)))</f>
        <v>RUAULT Marilou</v>
      </c>
    </row>
    <row r="53">
      <c r="A53" s="4" t="str">
        <f>'Créneaux'!I28</f>
        <v>Chimie</v>
      </c>
      <c r="B53" s="60">
        <f>'Créneaux'!J28</f>
        <v>3</v>
      </c>
      <c r="C53" s="121" t="str">
        <f>'Créneaux'!K28</f>
        <v>M. Roisin</v>
      </c>
      <c r="D53" s="31" t="str">
        <f>switch('Créneaux'!L28,0,"Lundi",1,"Mardi",2,"Mercredi",3,"Jeudi",4,"Vendredi")</f>
        <v>Jeudi</v>
      </c>
      <c r="E53" s="31" t="str">
        <f>'Créneaux'!M28&amp;"h"</f>
        <v>14h</v>
      </c>
      <c r="F53" s="31" t="str">
        <f>'Créneaux'!N28</f>
        <v>K22</v>
      </c>
      <c r="G53" s="32" t="str">
        <f>if(sumproduct((Colles!$A$2:$A$97=$A53),(Colles!C$2:C$97=$B53),(Colles!$B$2:$B$97))&gt;0,sumproduct((Colles!$A$2:$A$97=$A53),(Colles!C$2:C$97=$B53),(Colles!$B$2:$B$97)),"")</f>
        <v/>
      </c>
      <c r="H53" s="122">
        <f>if(sumproduct((Colles!$A$2:$A$97=$A53),(Colles!D$2:D$97=$B53),(Colles!$B$2:$B$97))&gt;0,sumproduct((Colles!$A$2:$A$97=$A53),(Colles!D$2:D$97=$B53),(Colles!$B$2:$B$97)),"")</f>
        <v>4</v>
      </c>
      <c r="I53" s="31">
        <f>if(sumproduct((Colles!$A$2:$A$97=$A53),(Colles!E$2:E$97=$B53),(Colles!$B$2:$B$97))&gt;0,sumproduct((Colles!$A$2:$A$97=$A53),(Colles!E$2:E$97=$B53),(Colles!$B$2:$B$97)),"")</f>
        <v>1</v>
      </c>
      <c r="J53" s="122">
        <f>if(sumproduct((Colles!$A$2:$A$97=$A53),(Colles!F$2:F$97=$B53),(Colles!$B$2:$B$97))&gt;0,sumproduct((Colles!$A$2:$A$97=$A53),(Colles!F$2:F$97=$B53),(Colles!$B$2:$B$97)),"")</f>
        <v>6</v>
      </c>
      <c r="K53" s="31">
        <f>if(sumproduct((Colles!$A$2:$A$97=$A53),(Colles!G$2:G$97=$B53),(Colles!$B$2:$B$97))&gt;0,sumproduct((Colles!$A$2:$A$97=$A53),(Colles!G$2:G$97=$B53),(Colles!$B$2:$B$97)),"")</f>
        <v>15</v>
      </c>
      <c r="L53" s="32"/>
      <c r="M53" s="122">
        <f>if(sumproduct((Colles!$A$2:$A$97=$A53),(Colles!I$2:I$97=$B53),(Colles!$B$2:$B$97))&gt;0,sumproduct((Colles!$A$2:$A$97=$A53),(Colles!I$2:I$97=$B53),(Colles!$B$2:$B$97)),"")</f>
        <v>10</v>
      </c>
      <c r="N53" s="31">
        <f>if(sumproduct((Colles!$A$2:$A$97=$A53),(Colles!J$2:J$97=$B53),(Colles!$B$2:$B$97))&gt;0,sumproduct((Colles!$A$2:$A$97=$A53),(Colles!J$2:J$97=$B53),(Colles!$B$2:$B$97)),"")</f>
        <v>13</v>
      </c>
      <c r="O53" s="122">
        <f>if(sumproduct((Colles!$A$2:$A$97=$A53),(Colles!K$2:K$97=$B53),(Colles!$B$2:$B$97))&gt;0,sumproduct((Colles!$A$2:$A$97=$A53),(Colles!K$2:K$97=$B53),(Colles!$B$2:$B$97)),"")</f>
        <v>14</v>
      </c>
      <c r="P53" s="31">
        <f>if(sumproduct((Colles!$A$2:$A$97=$A53),(Colles!L$2:L$97=$B53),(Colles!$B$2:$B$97))&gt;0,sumproduct((Colles!$A$2:$A$97=$A53),(Colles!L$2:L$97=$B53),(Colles!$B$2:$B$97)),"")</f>
        <v>11</v>
      </c>
      <c r="Q53" s="122">
        <f>if(sumproduct((Colles!$A$2:$A$97=$A53),(Colles!M$2:M$97=$B53),(Colles!$B$2:$B$97))&gt;0,sumproduct((Colles!$A$2:$A$97=$A53),(Colles!M$2:M$97=$B53),(Colles!$B$2:$B$97)),"")</f>
        <v>2</v>
      </c>
      <c r="R53" s="31">
        <f>if(sumproduct((Colles!$A$2:$A$97=$A53),(Colles!N$2:N$97=$B53),(Colles!$B$2:$B$97))&gt;0,sumproduct((Colles!$A$2:$A$97=$A53),(Colles!N$2:N$97=$B53),(Colles!$B$2:$B$97)),"")</f>
        <v>3</v>
      </c>
      <c r="S53" s="122">
        <f>if(sumproduct((Colles!$A$2:$A$97=$A53),(Colles!O$2:O$97=$B53),(Colles!$B$2:$B$97))&gt;0,sumproduct((Colles!$A$2:$A$97=$A53),(Colles!O$2:O$97=$B53),(Colles!$B$2:$B$97)),"")</f>
        <v>4</v>
      </c>
      <c r="T53" s="32"/>
      <c r="U53" s="32" t="str">
        <f>if(sumproduct((Colles!$A$2:$A$97=$A53),(Colles!Q$2:Q$97=$B53),(Colles!$B$2:$B$97))&gt;0,sumproduct((Colles!$A$2:$A$97=$A53),(Colles!Q$2:Q$97=$B53),(Colles!$B$2:$B$97)),"")</f>
        <v/>
      </c>
      <c r="V53" s="31">
        <f>if(sumproduct((Colles!$A$2:$A$97=$A53),(Colles!R$2:R$97=$B53),(Colles!$B$2:$B$97))&gt;0,sumproduct((Colles!$A$2:$A$97=$A53),(Colles!R$2:R$97=$B53),(Colles!$B$2:$B$97)),"")</f>
        <v>5</v>
      </c>
      <c r="W53" s="122">
        <f>if(sumproduct((Colles!$A$2:$A$97=$A53),(Colles!S$2:S$97=$B53),(Colles!$B$2:$B$97))&gt;0,sumproduct((Colles!$A$2:$A$97=$A53),(Colles!S$2:S$97=$B53),(Colles!$B$2:$B$97)),"")</f>
        <v>6</v>
      </c>
      <c r="Y53" s="6">
        <f t="shared" si="25"/>
        <v>13</v>
      </c>
      <c r="Z53" s="137" t="str">
        <f t="array" ref="Z53">IF(ISERROR(ADDRESS(SUMPRODUCT('Trinômes'!$B$2:$B$48=Y53,'Trinômes'!$C$2:$C$48=COUNTIF(Y$21:Y53,"="&amp;Y53)-1
,ROW('Trinômes'!$A$2:$A$48)),COLUMN('Trinômes'!$A$1)-COLUMN('Trinômes'!$A$1)+1)),"",indirect("Trinômes!"&amp;ADDRESS(SUMPRODUCT('Trinômes'!$B$2:$B$48=Y53,'Trinômes'!$C$2:$C$48=COUNTIF(Y$21:Y53,"="&amp;Y53)-1
,ROW('Trinômes'!$A$2:$A$48)),COLUMN('Trinômes'!$A$1)-COLUMN('Trinômes'!$A$1)+1)))</f>
        <v>RAZANAJAO Lucas</v>
      </c>
      <c r="AA53" s="6">
        <f t="shared" si="26"/>
        <v>14</v>
      </c>
      <c r="AB53" s="137" t="str">
        <f t="array" ref="AB53">IF(ISERROR(ADDRESS(SUMPRODUCT('Trinômes'!$B$2:$B$48=AA53,'Trinômes'!$C$2:$C$48=COUNTIF(AA$21:AA53,"="&amp;AA53)-1
,ROW('Trinômes'!$A$2:$A$48)),COLUMN('Trinômes'!$A$1)-COLUMN('Trinômes'!$A$1)+1)),"",indirect("Trinômes!"&amp;ADDRESS(SUMPRODUCT('Trinômes'!$B$2:$B$48=AA53,'Trinômes'!$C$2:$C$48=COUNTIF(AA$21:AA53,"="&amp;AA53)-1
,ROW('Trinômes'!$A$2:$A$48)),COLUMN('Trinômes'!$A$1)-COLUMN('Trinômes'!$A$1)+1)))</f>
        <v>THAERON Helena</v>
      </c>
    </row>
    <row r="54">
      <c r="A54" s="4" t="str">
        <f>'Créneaux'!I29</f>
        <v>Chimie</v>
      </c>
      <c r="B54" s="60">
        <f>'Créneaux'!J29</f>
        <v>4</v>
      </c>
      <c r="C54" s="121" t="str">
        <f>'Créneaux'!K29</f>
        <v>M. Jean</v>
      </c>
      <c r="D54" s="31" t="str">
        <f>switch('Créneaux'!L29,0,"Lundi",1,"Mardi",2,"Mercredi",3,"Jeudi",4,"Vendredi")</f>
        <v>Vendredi</v>
      </c>
      <c r="E54" s="31" t="str">
        <f>'Créneaux'!M29&amp;"h"</f>
        <v>16h</v>
      </c>
      <c r="F54" s="31" t="str">
        <f>'Créneaux'!N29</f>
        <v>K24</v>
      </c>
      <c r="G54" s="32" t="str">
        <f>if(sumproduct((Colles!$A$2:$A$97=$A54),(Colles!C$2:C$97=$B54),(Colles!$B$2:$B$97))&gt;0,sumproduct((Colles!$A$2:$A$97=$A54),(Colles!C$2:C$97=$B54),(Colles!$B$2:$B$97)),"")</f>
        <v/>
      </c>
      <c r="H54" s="122">
        <f>if(sumproduct((Colles!$A$2:$A$97=$A54),(Colles!D$2:D$97=$B54),(Colles!$B$2:$B$97))&gt;0,sumproduct((Colles!$A$2:$A$97=$A54),(Colles!D$2:D$97=$B54),(Colles!$B$2:$B$97)),"")</f>
        <v>10</v>
      </c>
      <c r="I54" s="31">
        <f>if(sumproduct((Colles!$A$2:$A$97=$A54),(Colles!E$2:E$97=$B54),(Colles!$B$2:$B$97))&gt;0,sumproduct((Colles!$A$2:$A$97=$A54),(Colles!E$2:E$97=$B54),(Colles!$B$2:$B$97)),"")</f>
        <v>11</v>
      </c>
      <c r="J54" s="122">
        <f>if(sumproduct((Colles!$A$2:$A$97=$A54),(Colles!F$2:F$97=$B54),(Colles!$B$2:$B$97))&gt;0,sumproduct((Colles!$A$2:$A$97=$A54),(Colles!F$2:F$97=$B54),(Colles!$B$2:$B$97)),"")</f>
        <v>14</v>
      </c>
      <c r="K54" s="31">
        <f>if(sumproduct((Colles!$A$2:$A$97=$A54),(Colles!G$2:G$97=$B54),(Colles!$B$2:$B$97))&gt;0,sumproduct((Colles!$A$2:$A$97=$A54),(Colles!G$2:G$97=$B54),(Colles!$B$2:$B$97)),"")</f>
        <v>13</v>
      </c>
      <c r="L54" s="32"/>
      <c r="M54" s="122">
        <f>if(sumproduct((Colles!$A$2:$A$97=$A54),(Colles!I$2:I$97=$B54),(Colles!$B$2:$B$97))&gt;0,sumproduct((Colles!$A$2:$A$97=$A54),(Colles!I$2:I$97=$B54),(Colles!$B$2:$B$97)),"")</f>
        <v>12</v>
      </c>
      <c r="N54" s="31">
        <f>if(sumproduct((Colles!$A$2:$A$97=$A54),(Colles!J$2:J$97=$B54),(Colles!$B$2:$B$97))&gt;0,sumproduct((Colles!$A$2:$A$97=$A54),(Colles!J$2:J$97=$B54),(Colles!$B$2:$B$97)),"")</f>
        <v>7</v>
      </c>
      <c r="O54" s="122">
        <f>if(sumproduct((Colles!$A$2:$A$97=$A54),(Colles!K$2:K$97=$B54),(Colles!$B$2:$B$97))&gt;0,sumproduct((Colles!$A$2:$A$97=$A54),(Colles!K$2:K$97=$B54),(Colles!$B$2:$B$97)),"")</f>
        <v>2</v>
      </c>
      <c r="P54" s="31">
        <f>if(sumproduct((Colles!$A$2:$A$97=$A54),(Colles!L$2:L$97=$B54),(Colles!$B$2:$B$97))&gt;0,sumproduct((Colles!$A$2:$A$97=$A54),(Colles!L$2:L$97=$B54),(Colles!$B$2:$B$97)),"")</f>
        <v>15</v>
      </c>
      <c r="Q54" s="122">
        <f>if(sumproduct((Colles!$A$2:$A$97=$A54),(Colles!M$2:M$97=$B54),(Colles!$B$2:$B$97))&gt;0,sumproduct((Colles!$A$2:$A$97=$A54),(Colles!M$2:M$97=$B54),(Colles!$B$2:$B$97)),"")</f>
        <v>10</v>
      </c>
      <c r="R54" s="31">
        <f>if(sumproduct((Colles!$A$2:$A$97=$A54),(Colles!N$2:N$97=$B54),(Colles!$B$2:$B$97))&gt;0,sumproduct((Colles!$A$2:$A$97=$A54),(Colles!N$2:N$97=$B54),(Colles!$B$2:$B$97)),"")</f>
        <v>9</v>
      </c>
      <c r="S54" s="122">
        <f>if(sumproduct((Colles!$A$2:$A$97=$A54),(Colles!O$2:O$97=$B54),(Colles!$B$2:$B$97))&gt;0,sumproduct((Colles!$A$2:$A$97=$A54),(Colles!O$2:O$97=$B54),(Colles!$B$2:$B$97)),"")</f>
        <v>6</v>
      </c>
      <c r="T54" s="32"/>
      <c r="U54" s="32" t="str">
        <f>if(sumproduct((Colles!$A$2:$A$97=$A54),(Colles!Q$2:Q$97=$B54),(Colles!$B$2:$B$97))&gt;0,sumproduct((Colles!$A$2:$A$97=$A54),(Colles!Q$2:Q$97=$B54),(Colles!$B$2:$B$97)),"")</f>
        <v/>
      </c>
      <c r="V54" s="31">
        <f>if(sumproduct((Colles!$A$2:$A$97=$A54),(Colles!R$2:R$97=$B54),(Colles!$B$2:$B$97))&gt;0,sumproduct((Colles!$A$2:$A$97=$A54),(Colles!R$2:R$97=$B54),(Colles!$B$2:$B$97)),"")</f>
        <v>11</v>
      </c>
      <c r="W54" s="122">
        <f>if(sumproduct((Colles!$A$2:$A$97=$A54),(Colles!S$2:S$97=$B54),(Colles!$B$2:$B$97))&gt;0,sumproduct((Colles!$A$2:$A$97=$A54),(Colles!S$2:S$97=$B54),(Colles!$B$2:$B$97)),"")</f>
        <v>4</v>
      </c>
      <c r="Y54" s="6">
        <f t="shared" si="25"/>
        <v>13</v>
      </c>
      <c r="Z54" s="137" t="str">
        <f t="array" ref="Z54">IF(ISERROR(ADDRESS(SUMPRODUCT('Trinômes'!$B$2:$B$48=Y54,'Trinômes'!$C$2:$C$48=COUNTIF(Y$21:Y54,"="&amp;Y54)-1
,ROW('Trinômes'!$A$2:$A$48)),COLUMN('Trinômes'!$A$1)-COLUMN('Trinômes'!$A$1)+1)),"",indirect("Trinômes!"&amp;ADDRESS(SUMPRODUCT('Trinômes'!$B$2:$B$48=Y54,'Trinômes'!$C$2:$C$48=COUNTIF(Y$21:Y54,"="&amp;Y54)-1
,ROW('Trinômes'!$A$2:$A$48)),COLUMN('Trinômes'!$A$1)-COLUMN('Trinômes'!$A$1)+1)))</f>
        <v>REBUFFEL Augustine</v>
      </c>
      <c r="AA54" s="6">
        <f t="shared" si="26"/>
        <v>14</v>
      </c>
      <c r="AB54" s="137" t="str">
        <f t="array" ref="AB54">IF(ISERROR(ADDRESS(SUMPRODUCT('Trinômes'!$B$2:$B$48=AA54,'Trinômes'!$C$2:$C$48=COUNTIF(AA$21:AA54,"="&amp;AA54)-1
,ROW('Trinômes'!$A$2:$A$48)),COLUMN('Trinômes'!$A$1)-COLUMN('Trinômes'!$A$1)+1)),"",indirect("Trinômes!"&amp;ADDRESS(SUMPRODUCT('Trinômes'!$B$2:$B$48=AA54,'Trinômes'!$C$2:$C$48=COUNTIF(AA$21:AA54,"="&amp;AA54)-1
,ROW('Trinômes'!$A$2:$A$48)),COLUMN('Trinômes'!$A$1)-COLUMN('Trinômes'!$A$1)+1)))</f>
        <v>VIEILLARD BARON Lubin</v>
      </c>
    </row>
    <row r="55">
      <c r="A55" s="4" t="str">
        <f>'Créneaux'!I30</f>
        <v>Chimie</v>
      </c>
      <c r="B55" s="60">
        <f>'Créneaux'!J30</f>
        <v>5</v>
      </c>
      <c r="C55" s="121" t="str">
        <f>'Créneaux'!K30</f>
        <v>M. Jean</v>
      </c>
      <c r="D55" s="31" t="str">
        <f>switch('Créneaux'!L30,0,"Lundi",1,"Mardi",2,"Mercredi",3,"Jeudi",4,"Vendredi")</f>
        <v>Vendredi</v>
      </c>
      <c r="E55" s="31" t="str">
        <f>'Créneaux'!M30&amp;"h"</f>
        <v>18h</v>
      </c>
      <c r="F55" s="31" t="str">
        <f>'Créneaux'!N30</f>
        <v>K24</v>
      </c>
      <c r="G55" s="32" t="str">
        <f>if(sumproduct((Colles!$A$2:$A$97=$A55),(Colles!C$2:C$97=$B55),(Colles!$B$2:$B$97))&gt;0,sumproduct((Colles!$A$2:$A$97=$A55),(Colles!C$2:C$97=$B55),(Colles!$B$2:$B$97)),"")</f>
        <v/>
      </c>
      <c r="H55" s="122">
        <f>if(sumproduct((Colles!$A$2:$A$97=$A55),(Colles!D$2:D$97=$B55),(Colles!$B$2:$B$97))&gt;0,sumproduct((Colles!$A$2:$A$97=$A55),(Colles!D$2:D$97=$B55),(Colles!$B$2:$B$97)),"")</f>
        <v>6</v>
      </c>
      <c r="I55" s="31">
        <f>if(sumproduct((Colles!$A$2:$A$97=$A55),(Colles!E$2:E$97=$B55),(Colles!$B$2:$B$97))&gt;0,sumproduct((Colles!$A$2:$A$97=$A55),(Colles!E$2:E$97=$B55),(Colles!$B$2:$B$97)),"")</f>
        <v>7</v>
      </c>
      <c r="J55" s="122">
        <f>if(sumproduct((Colles!$A$2:$A$97=$A55),(Colles!F$2:F$97=$B55),(Colles!$B$2:$B$97))&gt;0,sumproduct((Colles!$A$2:$A$97=$A55),(Colles!F$2:F$97=$B55),(Colles!$B$2:$B$97)),"")</f>
        <v>16</v>
      </c>
      <c r="K55" s="31">
        <f>if(sumproduct((Colles!$A$2:$A$97=$A55),(Colles!G$2:G$97=$B55),(Colles!$B$2:$B$97))&gt;0,sumproduct((Colles!$A$2:$A$97=$A55),(Colles!G$2:G$97=$B55),(Colles!$B$2:$B$97)),"")</f>
        <v>1</v>
      </c>
      <c r="L55" s="32"/>
      <c r="M55" s="122">
        <f>if(sumproduct((Colles!$A$2:$A$97=$A55),(Colles!I$2:I$97=$B55),(Colles!$B$2:$B$97))&gt;0,sumproduct((Colles!$A$2:$A$97=$A55),(Colles!I$2:I$97=$B55),(Colles!$B$2:$B$97)),"")</f>
        <v>8</v>
      </c>
      <c r="N55" s="31">
        <f>if(sumproduct((Colles!$A$2:$A$97=$A55),(Colles!J$2:J$97=$B55),(Colles!$B$2:$B$97))&gt;0,sumproduct((Colles!$A$2:$A$97=$A55),(Colles!J$2:J$97=$B55),(Colles!$B$2:$B$97)),"")</f>
        <v>15</v>
      </c>
      <c r="O55" s="122">
        <f>if(sumproduct((Colles!$A$2:$A$97=$A55),(Colles!K$2:K$97=$B55),(Colles!$B$2:$B$97))&gt;0,sumproduct((Colles!$A$2:$A$97=$A55),(Colles!K$2:K$97=$B55),(Colles!$B$2:$B$97)),"")</f>
        <v>12</v>
      </c>
      <c r="P55" s="31">
        <f>if(sumproduct((Colles!$A$2:$A$97=$A55),(Colles!L$2:L$97=$B55),(Colles!$B$2:$B$97))&gt;0,sumproduct((Colles!$A$2:$A$97=$A55),(Colles!L$2:L$97=$B55),(Colles!$B$2:$B$97)),"")</f>
        <v>9</v>
      </c>
      <c r="Q55" s="122">
        <f>if(sumproduct((Colles!$A$2:$A$97=$A55),(Colles!M$2:M$97=$B55),(Colles!$B$2:$B$97))&gt;0,sumproduct((Colles!$A$2:$A$97=$A55),(Colles!M$2:M$97=$B55),(Colles!$B$2:$B$97)),"")</f>
        <v>8</v>
      </c>
      <c r="R55" s="31">
        <f>if(sumproduct((Colles!$A$2:$A$97=$A55),(Colles!N$2:N$97=$B55),(Colles!$B$2:$B$97))&gt;0,sumproduct((Colles!$A$2:$A$97=$A55),(Colles!N$2:N$97=$B55),(Colles!$B$2:$B$97)),"")</f>
        <v>7</v>
      </c>
      <c r="S55" s="122">
        <f>if(sumproduct((Colles!$A$2:$A$97=$A55),(Colles!O$2:O$97=$B55),(Colles!$B$2:$B$97))&gt;0,sumproduct((Colles!$A$2:$A$97=$A55),(Colles!O$2:O$97=$B55),(Colles!$B$2:$B$97)),"")</f>
        <v>2</v>
      </c>
      <c r="T55" s="32"/>
      <c r="U55" s="32" t="str">
        <f>if(sumproduct((Colles!$A$2:$A$97=$A55),(Colles!Q$2:Q$97=$B55),(Colles!$B$2:$B$97))&gt;0,sumproduct((Colles!$A$2:$A$97=$A55),(Colles!Q$2:Q$97=$B55),(Colles!$B$2:$B$97)),"")</f>
        <v/>
      </c>
      <c r="V55" s="31">
        <f>if(sumproduct((Colles!$A$2:$A$97=$A55),(Colles!R$2:R$97=$B55),(Colles!$B$2:$B$97))&gt;0,sumproduct((Colles!$A$2:$A$97=$A55),(Colles!R$2:R$97=$B55),(Colles!$B$2:$B$97)),"")</f>
        <v>1</v>
      </c>
      <c r="W55" s="122">
        <f>if(sumproduct((Colles!$A$2:$A$97=$A55),(Colles!S$2:S$97=$B55),(Colles!$B$2:$B$97))&gt;0,sumproduct((Colles!$A$2:$A$97=$A55),(Colles!S$2:S$97=$B55),(Colles!$B$2:$B$97)),"")</f>
        <v>10</v>
      </c>
      <c r="Y55" s="6">
        <f t="shared" si="25"/>
        <v>13</v>
      </c>
      <c r="Z55" s="6"/>
      <c r="AA55" s="6">
        <f t="shared" si="26"/>
        <v>14</v>
      </c>
      <c r="AB55" s="6"/>
    </row>
    <row r="56">
      <c r="A56" s="4" t="str">
        <f>'Créneaux'!I31</f>
        <v>Chimie</v>
      </c>
      <c r="B56" s="60">
        <f>'Créneaux'!J31</f>
        <v>6</v>
      </c>
      <c r="C56" s="121" t="str">
        <f>'Créneaux'!K31</f>
        <v>Mme Bacchelli</v>
      </c>
      <c r="D56" s="31" t="str">
        <f>switch('Créneaux'!L31,0,"Lundi",1,"Mardi",2,"Mercredi",3,"Jeudi",4,"Vendredi")</f>
        <v>Vendredi</v>
      </c>
      <c r="E56" s="31" t="str">
        <f>'Créneaux'!M31&amp;"h"</f>
        <v>16h</v>
      </c>
      <c r="F56" s="31" t="str">
        <f>'Créneaux'!N31</f>
        <v>K23</v>
      </c>
      <c r="G56" s="32" t="str">
        <f>if(sumproduct((Colles!$A$2:$A$97=$A56),(Colles!C$2:C$97=$B56),(Colles!$B$2:$B$97))&gt;0,sumproduct((Colles!$A$2:$A$97=$A56),(Colles!C$2:C$97=$B56),(Colles!$B$2:$B$97)),"")</f>
        <v/>
      </c>
      <c r="H56" s="122">
        <f>if(sumproduct((Colles!$A$2:$A$97=$A56),(Colles!D$2:D$97=$B56),(Colles!$B$2:$B$97))&gt;0,sumproduct((Colles!$A$2:$A$97=$A56),(Colles!D$2:D$97=$B56),(Colles!$B$2:$B$97)),"")</f>
        <v>12</v>
      </c>
      <c r="I56" s="31">
        <f>if(sumproduct((Colles!$A$2:$A$97=$A56),(Colles!E$2:E$97=$B56),(Colles!$B$2:$B$97))&gt;0,sumproduct((Colles!$A$2:$A$97=$A56),(Colles!E$2:E$97=$B56),(Colles!$B$2:$B$97)),"")</f>
        <v>5</v>
      </c>
      <c r="J56" s="122">
        <f>if(sumproduct((Colles!$A$2:$A$97=$A56),(Colles!F$2:F$97=$B56),(Colles!$B$2:$B$97))&gt;0,sumproduct((Colles!$A$2:$A$97=$A56),(Colles!F$2:F$97=$B56),(Colles!$B$2:$B$97)),"")</f>
        <v>4</v>
      </c>
      <c r="K56" s="31">
        <f>if(sumproduct((Colles!$A$2:$A$97=$A56),(Colles!G$2:G$97=$B56),(Colles!$B$2:$B$97))&gt;0,sumproduct((Colles!$A$2:$A$97=$A56),(Colles!G$2:G$97=$B56),(Colles!$B$2:$B$97)),"")</f>
        <v>7</v>
      </c>
      <c r="L56" s="32"/>
      <c r="M56" s="122">
        <f>if(sumproduct((Colles!$A$2:$A$97=$A56),(Colles!I$2:I$97=$B56),(Colles!$B$2:$B$97))&gt;0,sumproduct((Colles!$A$2:$A$97=$A56),(Colles!I$2:I$97=$B56),(Colles!$B$2:$B$97)),"")</f>
        <v>14</v>
      </c>
      <c r="N56" s="31">
        <f>if(sumproduct((Colles!$A$2:$A$97=$A56),(Colles!J$2:J$97=$B56),(Colles!$B$2:$B$97))&gt;0,sumproduct((Colles!$A$2:$A$97=$A56),(Colles!J$2:J$97=$B56),(Colles!$B$2:$B$97)),"")</f>
        <v>11</v>
      </c>
      <c r="O56" s="122">
        <f>if(sumproduct((Colles!$A$2:$A$97=$A56),(Colles!K$2:K$97=$B56),(Colles!$B$2:$B$97))&gt;0,sumproduct((Colles!$A$2:$A$97=$A56),(Colles!K$2:K$97=$B56),(Colles!$B$2:$B$97)),"")</f>
        <v>16</v>
      </c>
      <c r="P56" s="31">
        <f>if(sumproduct((Colles!$A$2:$A$97=$A56),(Colles!L$2:L$97=$B56),(Colles!$B$2:$B$97))&gt;0,sumproduct((Colles!$A$2:$A$97=$A56),(Colles!L$2:L$97=$B56),(Colles!$B$2:$B$97)),"")</f>
        <v>13</v>
      </c>
      <c r="Q56" s="122">
        <f>if(sumproduct((Colles!$A$2:$A$97=$A56),(Colles!M$2:M$97=$B56),(Colles!$B$2:$B$97))&gt;0,sumproduct((Colles!$A$2:$A$97=$A56),(Colles!M$2:M$97=$B56),(Colles!$B$2:$B$97)),"")</f>
        <v>6</v>
      </c>
      <c r="R56" s="31">
        <f>if(sumproduct((Colles!$A$2:$A$97=$A56),(Colles!N$2:N$97=$B56),(Colles!$B$2:$B$97))&gt;0,sumproduct((Colles!$A$2:$A$97=$A56),(Colles!N$2:N$97=$B56),(Colles!$B$2:$B$97)),"")</f>
        <v>11</v>
      </c>
      <c r="S56" s="122">
        <f>if(sumproduct((Colles!$A$2:$A$97=$A56),(Colles!O$2:O$97=$B56),(Colles!$B$2:$B$97))&gt;0,sumproduct((Colles!$A$2:$A$97=$A56),(Colles!O$2:O$97=$B56),(Colles!$B$2:$B$97)),"")</f>
        <v>16</v>
      </c>
      <c r="T56" s="32"/>
      <c r="U56" s="32" t="str">
        <f>if(sumproduct((Colles!$A$2:$A$97=$A56),(Colles!Q$2:Q$97=$B56),(Colles!$B$2:$B$97))&gt;0,sumproduct((Colles!$A$2:$A$97=$A56),(Colles!Q$2:Q$97=$B56),(Colles!$B$2:$B$97)),"")</f>
        <v/>
      </c>
      <c r="V56" s="31">
        <f>if(sumproduct((Colles!$A$2:$A$97=$A56),(Colles!R$2:R$97=$B56),(Colles!$B$2:$B$97))&gt;0,sumproduct((Colles!$A$2:$A$97=$A56),(Colles!R$2:R$97=$B56),(Colles!$B$2:$B$97)),"")</f>
        <v>15</v>
      </c>
      <c r="W56" s="122">
        <f>if(sumproduct((Colles!$A$2:$A$97=$A56),(Colles!S$2:S$97=$B56),(Colles!$B$2:$B$97))&gt;0,sumproduct((Colles!$A$2:$A$97=$A56),(Colles!S$2:S$97=$B56),(Colles!$B$2:$B$97)),"")</f>
        <v>8</v>
      </c>
      <c r="Y56" s="6">
        <f>AA51+1</f>
        <v>15</v>
      </c>
      <c r="Z56" s="134" t="str">
        <f>Y56&amp;IF(SUMPRODUCT('Trinômes'!$A$2:$A$48=Z57,'Trinômes'!$D$2:$D$48&lt;&gt;0)+SUMPRODUCT('Trinômes'!$A$2:$A$48=Z58,'Trinômes'!$D$2:$D$48&lt;&gt;0)+SUMPRODUCT('Trinômes'!$A$2:$A$48=Z59,'Trinômes'!$D$2:$D$48&lt;&gt;0)&gt;0," – LV2","")</f>
        <v>15 – LV2</v>
      </c>
      <c r="AA56" s="135">
        <f>Y56+1</f>
        <v>16</v>
      </c>
      <c r="AB56" s="136" t="str">
        <f>AA56&amp;IF(SUMPRODUCT('Trinômes'!$A$2:$A$48=AB57,'Trinômes'!$D$2:$D$48&lt;&gt;0)+SUMPRODUCT('Trinômes'!$A$2:$A$48=AB58,'Trinômes'!$D$2:$D$48&lt;&gt;0)+SUMPRODUCT('Trinômes'!$A$2:$A$48=AB59,'Trinômes'!$D$2:$D$48&lt;&gt;0)&gt;0," – LV2","")</f>
        <v>16 – LV2</v>
      </c>
    </row>
    <row r="57">
      <c r="A57" s="4" t="str">
        <f>'Créneaux'!I32</f>
        <v>Chimie</v>
      </c>
      <c r="B57" s="60">
        <f>'Créneaux'!J32</f>
        <v>7</v>
      </c>
      <c r="C57" s="121" t="str">
        <f>'Créneaux'!K32</f>
        <v>Mme Zavoli</v>
      </c>
      <c r="D57" s="31" t="str">
        <f>switch('Créneaux'!L32,0,"Lundi",1,"Mardi",2,"Mercredi",3,"Jeudi",4,"Vendredi")</f>
        <v>Vendredi</v>
      </c>
      <c r="E57" s="31" t="str">
        <f>'Créneaux'!M32&amp;"h"</f>
        <v>16h</v>
      </c>
      <c r="F57" s="31" t="str">
        <f>'Créneaux'!N32</f>
        <v>K25</v>
      </c>
      <c r="G57" s="32" t="str">
        <f>if(sumproduct((Colles!$A$2:$A$97=$A57),(Colles!C$2:C$97=$B57),(Colles!$B$2:$B$97))&gt;0,sumproduct((Colles!$A$2:$A$97=$A57),(Colles!C$2:C$97=$B57),(Colles!$B$2:$B$97)),"")</f>
        <v/>
      </c>
      <c r="H57" s="122">
        <f>if(sumproduct((Colles!$A$2:$A$97=$A57),(Colles!D$2:D$97=$B57),(Colles!$B$2:$B$97))&gt;0,sumproduct((Colles!$A$2:$A$97=$A57),(Colles!D$2:D$97=$B57),(Colles!$B$2:$B$97)),"")</f>
        <v>8</v>
      </c>
      <c r="I57" s="31">
        <f>if(sumproduct((Colles!$A$2:$A$97=$A57),(Colles!E$2:E$97=$B57),(Colles!$B$2:$B$97))&gt;0,sumproduct((Colles!$A$2:$A$97=$A57),(Colles!E$2:E$97=$B57),(Colles!$B$2:$B$97)),"")</f>
        <v>9</v>
      </c>
      <c r="J57" s="122">
        <f>if(sumproduct((Colles!$A$2:$A$97=$A57),(Colles!F$2:F$97=$B57),(Colles!$B$2:$B$97))&gt;0,sumproduct((Colles!$A$2:$A$97=$A57),(Colles!F$2:F$97=$B57),(Colles!$B$2:$B$97)),"")</f>
        <v>2</v>
      </c>
      <c r="K57" s="31">
        <f>if(sumproduct((Colles!$A$2:$A$97=$A57),(Colles!G$2:G$97=$B57),(Colles!$B$2:$B$97))&gt;0,sumproduct((Colles!$A$2:$A$97=$A57),(Colles!G$2:G$97=$B57),(Colles!$B$2:$B$97)),"")</f>
        <v>3</v>
      </c>
      <c r="L57" s="32"/>
      <c r="M57" s="122">
        <f>if(sumproduct((Colles!$A$2:$A$97=$A57),(Colles!I$2:I$97=$B57),(Colles!$B$2:$B$97))&gt;0,sumproduct((Colles!$A$2:$A$97=$A57),(Colles!I$2:I$97=$B57),(Colles!$B$2:$B$97)),"")</f>
        <v>16</v>
      </c>
      <c r="N57" s="31">
        <f>if(sumproduct((Colles!$A$2:$A$97=$A57),(Colles!J$2:J$97=$B57),(Colles!$B$2:$B$97))&gt;0,sumproduct((Colles!$A$2:$A$97=$A57),(Colles!J$2:J$97=$B57),(Colles!$B$2:$B$97)),"")</f>
        <v>9</v>
      </c>
      <c r="O57" s="122">
        <f>if(sumproduct((Colles!$A$2:$A$97=$A57),(Colles!K$2:K$97=$B57),(Colles!$B$2:$B$97))&gt;0,sumproduct((Colles!$A$2:$A$97=$A57),(Colles!K$2:K$97=$B57),(Colles!$B$2:$B$97)),"")</f>
        <v>4</v>
      </c>
      <c r="P57" s="31">
        <f>if(sumproduct((Colles!$A$2:$A$97=$A57),(Colles!L$2:L$97=$B57),(Colles!$B$2:$B$97))&gt;0,sumproduct((Colles!$A$2:$A$97=$A57),(Colles!L$2:L$97=$B57),(Colles!$B$2:$B$97)),"")</f>
        <v>5</v>
      </c>
      <c r="Q57" s="122">
        <f>if(sumproduct((Colles!$A$2:$A$97=$A57),(Colles!M$2:M$97=$B57),(Colles!$B$2:$B$97))&gt;0,sumproduct((Colles!$A$2:$A$97=$A57),(Colles!M$2:M$97=$B57),(Colles!$B$2:$B$97)),"")</f>
        <v>14</v>
      </c>
      <c r="R57" s="31">
        <f>if(sumproduct((Colles!$A$2:$A$97=$A57),(Colles!N$2:N$97=$B57),(Colles!$B$2:$B$97))&gt;0,sumproduct((Colles!$A$2:$A$97=$A57),(Colles!N$2:N$97=$B57),(Colles!$B$2:$B$97)),"")</f>
        <v>15</v>
      </c>
      <c r="S57" s="122">
        <f>if(sumproduct((Colles!$A$2:$A$97=$A57),(Colles!O$2:O$97=$B57),(Colles!$B$2:$B$97))&gt;0,sumproduct((Colles!$A$2:$A$97=$A57),(Colles!O$2:O$97=$B57),(Colles!$B$2:$B$97)),"")</f>
        <v>8</v>
      </c>
      <c r="T57" s="32"/>
      <c r="U57" s="32" t="str">
        <f>if(sumproduct((Colles!$A$2:$A$97=$A57),(Colles!Q$2:Q$97=$B57),(Colles!$B$2:$B$97))&gt;0,sumproduct((Colles!$A$2:$A$97=$A57),(Colles!Q$2:Q$97=$B57),(Colles!$B$2:$B$97)),"")</f>
        <v/>
      </c>
      <c r="V57" s="31">
        <f>if(sumproduct((Colles!$A$2:$A$97=$A57),(Colles!R$2:R$97=$B57),(Colles!$B$2:$B$97))&gt;0,sumproduct((Colles!$A$2:$A$97=$A57),(Colles!R$2:R$97=$B57),(Colles!$B$2:$B$97)),"")</f>
        <v>13</v>
      </c>
      <c r="W57" s="122">
        <f>if(sumproduct((Colles!$A$2:$A$97=$A57),(Colles!S$2:S$97=$B57),(Colles!$B$2:$B$97))&gt;0,sumproduct((Colles!$A$2:$A$97=$A57),(Colles!S$2:S$97=$B57),(Colles!$B$2:$B$97)),"")</f>
        <v>12</v>
      </c>
      <c r="Y57" s="6">
        <f t="shared" ref="Y57:Y60" si="27">Y56</f>
        <v>15</v>
      </c>
      <c r="Z57" s="137" t="str">
        <f t="array" ref="Z57">IF(ISERROR(ADDRESS(SUMPRODUCT('Trinômes'!$B$2:$B$48=Y57,'Trinômes'!$C$2:$C$48=COUNTIF(Y$21:Y57,"="&amp;Y57)-1
,ROW('Trinômes'!$A$2:$A$48)),COLUMN('Trinômes'!$A$1)-COLUMN('Trinômes'!$A$1)+1)),"",indirect("Trinômes!"&amp;ADDRESS(SUMPRODUCT('Trinômes'!$B$2:$B$48=Y57,'Trinômes'!$C$2:$C$48=COUNTIF(Y$21:Y57,"="&amp;Y57)-1
,ROW('Trinômes'!$A$2:$A$48)),COLUMN('Trinômes'!$A$1)-COLUMN('Trinômes'!$A$1)+1)))</f>
        <v>CHABBERT Elio</v>
      </c>
      <c r="AA57" s="6">
        <f t="shared" ref="AA57:AA60" si="28">AA56</f>
        <v>16</v>
      </c>
      <c r="AB57" s="137" t="str">
        <f t="array" ref="AB57">IF(ISERROR(ADDRESS(SUMPRODUCT('Trinômes'!$B$2:$B$48=AA57,'Trinômes'!$C$2:$C$48=COUNTIF(AA$21:AA57,"="&amp;AA57)-1
,ROW('Trinômes'!$A$2:$A$48)),COLUMN('Trinômes'!$A$1)-COLUMN('Trinômes'!$A$1)+1)),"",indirect("Trinômes!"&amp;ADDRESS(SUMPRODUCT('Trinômes'!$B$2:$B$48=AA57,'Trinômes'!$C$2:$C$48=COUNTIF(AA$21:AA57,"="&amp;AA57)-1
,ROW('Trinômes'!$A$2:$A$48)),COLUMN('Trinômes'!$A$1)-COLUMN('Trinômes'!$A$1)+1)))</f>
        <v>LEVER BOYER Nolan</v>
      </c>
    </row>
    <row r="58">
      <c r="A58" s="4" t="str">
        <f>'Créneaux'!I33</f>
        <v>Chimie</v>
      </c>
      <c r="B58" s="60">
        <f>'Créneaux'!J33</f>
        <v>8</v>
      </c>
      <c r="C58" s="121" t="str">
        <f>'Créneaux'!K33</f>
        <v>M. Colin</v>
      </c>
      <c r="D58" s="31" t="str">
        <f>switch('Créneaux'!L33,0,"Lundi",1,"Mardi",2,"Mercredi",3,"Jeudi",4,"Vendredi")</f>
        <v>Mercredi</v>
      </c>
      <c r="E58" s="31" t="str">
        <f>'Créneaux'!M33&amp;"h"</f>
        <v>18h</v>
      </c>
      <c r="F58" s="31" t="str">
        <f>'Créneaux'!N33</f>
        <v>Prépa 24</v>
      </c>
      <c r="G58" s="32" t="str">
        <f>if(sumproduct((Colles!$A$2:$A$97=$A58),(Colles!C$2:C$97=$B58),(Colles!$B$2:$B$97))&gt;0,sumproduct((Colles!$A$2:$A$97=$A58),(Colles!C$2:C$97=$B58),(Colles!$B$2:$B$97)),"")</f>
        <v/>
      </c>
      <c r="H58" s="122">
        <f>if(sumproduct((Colles!$A$2:$A$97=$A58),(Colles!D$2:D$97=$B58),(Colles!$B$2:$B$97))&gt;0,sumproduct((Colles!$A$2:$A$97=$A58),(Colles!D$2:D$97=$B58),(Colles!$B$2:$B$97)),"")</f>
        <v>2</v>
      </c>
      <c r="I58" s="31">
        <f>if(sumproduct((Colles!$A$2:$A$97=$A58),(Colles!E$2:E$97=$B58),(Colles!$B$2:$B$97))&gt;0,sumproduct((Colles!$A$2:$A$97=$A58),(Colles!E$2:E$97=$B58),(Colles!$B$2:$B$97)),"")</f>
        <v>3</v>
      </c>
      <c r="J58" s="122">
        <f>if(sumproduct((Colles!$A$2:$A$97=$A58),(Colles!F$2:F$97=$B58),(Colles!$B$2:$B$97))&gt;0,sumproduct((Colles!$A$2:$A$97=$A58),(Colles!F$2:F$97=$B58),(Colles!$B$2:$B$97)),"")</f>
        <v>8</v>
      </c>
      <c r="K58" s="31">
        <f>if(sumproduct((Colles!$A$2:$A$97=$A58),(Colles!G$2:G$97=$B58),(Colles!$B$2:$B$97))&gt;0,sumproduct((Colles!$A$2:$A$97=$A58),(Colles!G$2:G$97=$B58),(Colles!$B$2:$B$97)),"")</f>
        <v>5</v>
      </c>
      <c r="L58" s="32"/>
      <c r="M58" s="122">
        <f>if(sumproduct((Colles!$A$2:$A$97=$A58),(Colles!I$2:I$97=$B58),(Colles!$B$2:$B$97))&gt;0,sumproduct((Colles!$A$2:$A$97=$A58),(Colles!I$2:I$97=$B58),(Colles!$B$2:$B$97)),"")</f>
        <v>4</v>
      </c>
      <c r="N58" s="31">
        <f>if(sumproduct((Colles!$A$2:$A$97=$A58),(Colles!J$2:J$97=$B58),(Colles!$B$2:$B$97))&gt;0,sumproduct((Colles!$A$2:$A$97=$A58),(Colles!J$2:J$97=$B58),(Colles!$B$2:$B$97)),"")</f>
        <v>1</v>
      </c>
      <c r="O58" s="122">
        <f>if(sumproduct((Colles!$A$2:$A$97=$A58),(Colles!K$2:K$97=$B58),(Colles!$B$2:$B$97))&gt;0,sumproduct((Colles!$A$2:$A$97=$A58),(Colles!K$2:K$97=$B58),(Colles!$B$2:$B$97)),"")</f>
        <v>6</v>
      </c>
      <c r="P58" s="31">
        <f>if(sumproduct((Colles!$A$2:$A$97=$A58),(Colles!L$2:L$97=$B58),(Colles!$B$2:$B$97))&gt;0,sumproduct((Colles!$A$2:$A$97=$A58),(Colles!L$2:L$97=$B58),(Colles!$B$2:$B$97)),"")</f>
        <v>7</v>
      </c>
      <c r="Q58" s="122">
        <f>if(sumproduct((Colles!$A$2:$A$97=$A58),(Colles!M$2:M$97=$B58),(Colles!$B$2:$B$97))&gt;0,sumproduct((Colles!$A$2:$A$97=$A58),(Colles!M$2:M$97=$B58),(Colles!$B$2:$B$97)),"")</f>
        <v>12</v>
      </c>
      <c r="R58" s="31">
        <f>if(sumproduct((Colles!$A$2:$A$97=$A58),(Colles!N$2:N$97=$B58),(Colles!$B$2:$B$97))&gt;0,sumproduct((Colles!$A$2:$A$97=$A58),(Colles!N$2:N$97=$B58),(Colles!$B$2:$B$97)),"")</f>
        <v>13</v>
      </c>
      <c r="S58" s="122">
        <f>if(sumproduct((Colles!$A$2:$A$97=$A58),(Colles!O$2:O$97=$B58),(Colles!$B$2:$B$97))&gt;0,sumproduct((Colles!$A$2:$A$97=$A58),(Colles!O$2:O$97=$B58),(Colles!$B$2:$B$97)),"")</f>
        <v>14</v>
      </c>
      <c r="T58" s="32"/>
      <c r="U58" s="32" t="str">
        <f>if(sumproduct((Colles!$A$2:$A$97=$A58),(Colles!Q$2:Q$97=$B58),(Colles!$B$2:$B$97))&gt;0,sumproduct((Colles!$A$2:$A$97=$A58),(Colles!Q$2:Q$97=$B58),(Colles!$B$2:$B$97)),"")</f>
        <v/>
      </c>
      <c r="V58" s="31">
        <f>if(sumproduct((Colles!$A$2:$A$97=$A58),(Colles!R$2:R$97=$B58),(Colles!$B$2:$B$97))&gt;0,sumproduct((Colles!$A$2:$A$97=$A58),(Colles!R$2:R$97=$B58),(Colles!$B$2:$B$97)),"")</f>
        <v>9</v>
      </c>
      <c r="W58" s="122">
        <f>if(sumproduct((Colles!$A$2:$A$97=$A58),(Colles!S$2:S$97=$B58),(Colles!$B$2:$B$97))&gt;0,sumproduct((Colles!$A$2:$A$97=$A58),(Colles!S$2:S$97=$B58),(Colles!$B$2:$B$97)),"")</f>
        <v>16</v>
      </c>
      <c r="Y58" s="6">
        <f t="shared" si="27"/>
        <v>15</v>
      </c>
      <c r="Z58" s="137" t="str">
        <f t="array" ref="Z58">IF(ISERROR(ADDRESS(SUMPRODUCT('Trinômes'!$B$2:$B$48=Y58,'Trinômes'!$C$2:$C$48=COUNTIF(Y$21:Y58,"="&amp;Y58)-1
,ROW('Trinômes'!$A$2:$A$48)),COLUMN('Trinômes'!$A$1)-COLUMN('Trinômes'!$A$1)+1)),"",indirect("Trinômes!"&amp;ADDRESS(SUMPRODUCT('Trinômes'!$B$2:$B$48=Y58,'Trinômes'!$C$2:$C$48=COUNTIF(Y$21:Y58,"="&amp;Y58)-1
,ROW('Trinômes'!$A$2:$A$48)),COLUMN('Trinômes'!$A$1)-COLUMN('Trinômes'!$A$1)+1)))</f>
        <v>WATTRELOT--LAZAROWICZ Max</v>
      </c>
      <c r="AA58" s="6">
        <f t="shared" si="28"/>
        <v>16</v>
      </c>
      <c r="AB58" s="137" t="str">
        <f t="array" ref="AB58">IF(ISERROR(ADDRESS(SUMPRODUCT('Trinômes'!$B$2:$B$48=AA58,'Trinômes'!$C$2:$C$48=COUNTIF(AA$21:AA58,"="&amp;AA58)-1
,ROW('Trinômes'!$A$2:$A$48)),COLUMN('Trinômes'!$A$1)-COLUMN('Trinômes'!$A$1)+1)),"",indirect("Trinômes!"&amp;ADDRESS(SUMPRODUCT('Trinômes'!$B$2:$B$48=AA58,'Trinômes'!$C$2:$C$48=COUNTIF(AA$21:AA58,"="&amp;AA58)-1
,ROW('Trinômes'!$A$2:$A$48)),COLUMN('Trinômes'!$A$1)-COLUMN('Trinômes'!$A$1)+1)))</f>
        <v>LUCOTTE Louise</v>
      </c>
    </row>
    <row r="59">
      <c r="A59" s="4"/>
      <c r="C59" s="146" t="str">
        <f>A60</f>
        <v>Français</v>
      </c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Y59" s="6">
        <f t="shared" si="27"/>
        <v>15</v>
      </c>
      <c r="Z59" s="137" t="str">
        <f t="array" ref="Z59">IF(ISERROR(ADDRESS(SUMPRODUCT('Trinômes'!$B$2:$B$48=Y59,'Trinômes'!$C$2:$C$48=COUNTIF(Y$21:Y59,"="&amp;Y59)-1
,ROW('Trinômes'!$A$2:$A$48)),COLUMN('Trinômes'!$A$1)-COLUMN('Trinômes'!$A$1)+1)),"",indirect("Trinômes!"&amp;ADDRESS(SUMPRODUCT('Trinômes'!$B$2:$B$48=Y59,'Trinômes'!$C$2:$C$48=COUNTIF(Y$21:Y59,"="&amp;Y59)-1
,ROW('Trinômes'!$A$2:$A$48)),COLUMN('Trinômes'!$A$1)-COLUMN('Trinômes'!$A$1)+1)))</f>
        <v/>
      </c>
      <c r="AA59" s="6">
        <f t="shared" si="28"/>
        <v>16</v>
      </c>
      <c r="AB59" s="137" t="str">
        <f t="array" ref="AB59">IF(ISERROR(ADDRESS(SUMPRODUCT('Trinômes'!$B$2:$B$48=AA59,'Trinômes'!$C$2:$C$48=COUNTIF(AA$21:AA59,"="&amp;AA59)-1
,ROW('Trinômes'!$A$2:$A$48)),COLUMN('Trinômes'!$A$1)-COLUMN('Trinômes'!$A$1)+1)),"",indirect("Trinômes!"&amp;ADDRESS(SUMPRODUCT('Trinômes'!$B$2:$B$48=AA59,'Trinômes'!$C$2:$C$48=COUNTIF(AA$21:AA59,"="&amp;AA59)-1
,ROW('Trinômes'!$A$2:$A$48)),COLUMN('Trinômes'!$A$1)-COLUMN('Trinômes'!$A$1)+1)))</f>
        <v>MINET Blandine</v>
      </c>
    </row>
    <row r="60">
      <c r="A60" s="4" t="str">
        <f>'Créneaux'!I38</f>
        <v>Français</v>
      </c>
      <c r="B60" s="60">
        <f>'Créneaux'!J38</f>
        <v>1</v>
      </c>
      <c r="C60" s="121" t="str">
        <f>'Créneaux'!K38</f>
        <v>Mme Capitani</v>
      </c>
      <c r="D60" s="31" t="str">
        <f>switch('Créneaux'!L38,0,"Lundi",1,"Mardi",2,"Mercredi",3,"Jeudi",4,"Vendredi")</f>
        <v>Vendredi</v>
      </c>
      <c r="E60" s="31" t="str">
        <f>'Créneaux'!M38&amp;"h"</f>
        <v>16h</v>
      </c>
      <c r="F60" s="31" t="str">
        <f>'Créneaux'!N38</f>
        <v>Prépa 23</v>
      </c>
      <c r="G60" s="32" t="str">
        <f>if(sumproduct((Colles!$A$2:$A$97=$A60),(Colles!C$2:C$97=$B60),(Colles!$B$2:$B$97))&gt;0,sumproduct((Colles!$A$2:$A$97=$A60),(Colles!C$2:C$97=$B60),(Colles!$B$2:$B$97)),"")</f>
        <v/>
      </c>
      <c r="H60" s="31">
        <f>if(sumproduct((Colles!$A$2:$A$97=$A60),(Colles!D$2:D$97=$B60),(Colles!$B$2:$B$97))&gt;0,sumproduct((Colles!$A$2:$A$97=$A60),(Colles!D$2:D$97=$B60),(Colles!$B$2:$B$97)),"")</f>
        <v>5</v>
      </c>
      <c r="I60" s="31">
        <f>if(sumproduct((Colles!$A$2:$A$97=$A60),(Colles!E$2:E$97=$B60),(Colles!$B$2:$B$97))&gt;0,sumproduct((Colles!$A$2:$A$97=$A60),(Colles!E$2:E$97=$B60),(Colles!$B$2:$B$97)),"")</f>
        <v>12</v>
      </c>
      <c r="J60" s="31">
        <f>if(sumproduct((Colles!$A$2:$A$97=$A60),(Colles!F$2:F$97=$B60),(Colles!$B$2:$B$97))&gt;0,sumproduct((Colles!$A$2:$A$97=$A60),(Colles!F$2:F$97=$B60),(Colles!$B$2:$B$97)),"")</f>
        <v>1</v>
      </c>
      <c r="K60" s="31">
        <f>if(sumproduct((Colles!$A$2:$A$97=$A60),(Colles!G$2:G$97=$B60),(Colles!$B$2:$B$97))&gt;0,sumproduct((Colles!$A$2:$A$97=$A60),(Colles!G$2:G$97=$B60),(Colles!$B$2:$B$97)),"")</f>
        <v>16</v>
      </c>
      <c r="L60" s="32"/>
      <c r="M60" s="31">
        <f>if(sumproduct((Colles!$A$2:$A$97=$A60),(Colles!I$2:I$97=$B60),(Colles!$B$2:$B$97))&gt;0,sumproduct((Colles!$A$2:$A$97=$A60),(Colles!I$2:I$97=$B60),(Colles!$B$2:$B$97)),"")</f>
        <v>9</v>
      </c>
      <c r="N60" s="31">
        <f>if(sumproduct((Colles!$A$2:$A$97=$A60),(Colles!J$2:J$97=$B60),(Colles!$B$2:$B$97))&gt;0,sumproduct((Colles!$A$2:$A$97=$A60),(Colles!J$2:J$97=$B60),(Colles!$B$2:$B$97)),"")</f>
        <v>14</v>
      </c>
      <c r="O60" s="31">
        <f>if(sumproduct((Colles!$A$2:$A$97=$A60),(Colles!K$2:K$97=$B60),(Colles!$B$2:$B$97))&gt;0,sumproduct((Colles!$A$2:$A$97=$A60),(Colles!K$2:K$97=$B60),(Colles!$B$2:$B$97)),"")</f>
        <v>13</v>
      </c>
      <c r="P60" s="31">
        <f>if(sumproduct((Colles!$A$2:$A$97=$A60),(Colles!L$2:L$97=$B60),(Colles!$B$2:$B$97))&gt;0,sumproduct((Colles!$A$2:$A$97=$A60),(Colles!L$2:L$97=$B60),(Colles!$B$2:$B$97)),"")</f>
        <v>6</v>
      </c>
      <c r="Q60" s="31">
        <f>if(sumproduct((Colles!$A$2:$A$97=$A60),(Colles!M$2:M$97=$B60),(Colles!$B$2:$B$97))&gt;0,sumproduct((Colles!$A$2:$A$97=$A60),(Colles!M$2:M$97=$B60),(Colles!$B$2:$B$97)),"")</f>
        <v>11</v>
      </c>
      <c r="R60" s="31">
        <f>if(sumproduct((Colles!$A$2:$A$97=$A60),(Colles!N$2:N$97=$B60),(Colles!$B$2:$B$97))&gt;0,sumproduct((Colles!$A$2:$A$97=$A60),(Colles!N$2:N$97=$B60),(Colles!$B$2:$B$97)),"")</f>
        <v>12</v>
      </c>
      <c r="S60" s="31">
        <f>if(sumproduct((Colles!$A$2:$A$97=$A60),(Colles!O$2:O$97=$B60),(Colles!$B$2:$B$97))&gt;0,sumproduct((Colles!$A$2:$A$97=$A60),(Colles!O$2:O$97=$B60),(Colles!$B$2:$B$97)),"")</f>
        <v>5</v>
      </c>
      <c r="T60" s="32"/>
      <c r="U60" s="32" t="str">
        <f>if(sumproduct((Colles!$A$2:$A$97=$A60),(Colles!Q$2:Q$97=$B60),(Colles!$B$2:$B$97))&gt;0,sumproduct((Colles!$A$2:$A$97=$A60),(Colles!Q$2:Q$97=$B60),(Colles!$B$2:$B$97)),"")</f>
        <v/>
      </c>
      <c r="V60" s="31">
        <f>if(sumproduct((Colles!$A$2:$A$97=$A60),(Colles!R$2:R$97=$B60),(Colles!$B$2:$B$97))&gt;0,sumproduct((Colles!$A$2:$A$97=$A60),(Colles!R$2:R$97=$B60),(Colles!$B$2:$B$97)),"")</f>
        <v>6</v>
      </c>
      <c r="W60" s="31">
        <f>if(sumproduct((Colles!$A$2:$A$97=$A60),(Colles!S$2:S$97=$B60),(Colles!$B$2:$B$97))&gt;0,sumproduct((Colles!$A$2:$A$97=$A60),(Colles!S$2:S$97=$B60),(Colles!$B$2:$B$97)),"")</f>
        <v>1</v>
      </c>
      <c r="Y60" s="6">
        <f t="shared" si="27"/>
        <v>15</v>
      </c>
      <c r="AA60" s="6">
        <f t="shared" si="28"/>
        <v>16</v>
      </c>
    </row>
    <row r="61">
      <c r="A61" s="4" t="str">
        <f>'Créneaux'!I39</f>
        <v>Français</v>
      </c>
      <c r="B61" s="60">
        <f>'Créneaux'!J39</f>
        <v>2</v>
      </c>
      <c r="C61" s="121" t="str">
        <f>'Créneaux'!K39</f>
        <v>Mme Capitani</v>
      </c>
      <c r="D61" s="31" t="str">
        <f>switch('Créneaux'!L39,0,"Lundi",1,"Mardi",2,"Mercredi",3,"Jeudi",4,"Vendredi")</f>
        <v>Vendredi</v>
      </c>
      <c r="E61" s="31" t="str">
        <f>'Créneaux'!M39&amp;"h"</f>
        <v>17h</v>
      </c>
      <c r="F61" s="31" t="str">
        <f>'Créneaux'!N39</f>
        <v>Prépa 23</v>
      </c>
      <c r="G61" s="32" t="str">
        <f>if(sumproduct((Colles!$A$2:$A$97=$A61),(Colles!C$2:C$97=$B61),(Colles!$B$2:$B$97))&gt;0,sumproduct((Colles!$A$2:$A$97=$A61),(Colles!C$2:C$97=$B61),(Colles!$B$2:$B$97)),"")</f>
        <v/>
      </c>
      <c r="H61" s="31">
        <f>if(sumproduct((Colles!$A$2:$A$97=$A61),(Colles!D$2:D$97=$B61),(Colles!$B$2:$B$97))&gt;0,sumproduct((Colles!$A$2:$A$97=$A61),(Colles!D$2:D$97=$B61),(Colles!$B$2:$B$97)),"")</f>
        <v>7</v>
      </c>
      <c r="I61" s="31">
        <f>if(sumproduct((Colles!$A$2:$A$97=$A61),(Colles!E$2:E$97=$B61),(Colles!$B$2:$B$97))&gt;0,sumproduct((Colles!$A$2:$A$97=$A61),(Colles!E$2:E$97=$B61),(Colles!$B$2:$B$97)),"")</f>
        <v>10</v>
      </c>
      <c r="J61" s="31">
        <f>if(sumproduct((Colles!$A$2:$A$97=$A61),(Colles!F$2:F$97=$B61),(Colles!$B$2:$B$97))&gt;0,sumproduct((Colles!$A$2:$A$97=$A61),(Colles!F$2:F$97=$B61),(Colles!$B$2:$B$97)),"")</f>
        <v>3</v>
      </c>
      <c r="K61" s="31">
        <f>if(sumproduct((Colles!$A$2:$A$97=$A61),(Colles!G$2:G$97=$B61),(Colles!$B$2:$B$97))&gt;0,sumproduct((Colles!$A$2:$A$97=$A61),(Colles!G$2:G$97=$B61),(Colles!$B$2:$B$97)),"")</f>
        <v>4</v>
      </c>
      <c r="L61" s="32"/>
      <c r="M61" s="31">
        <f>if(sumproduct((Colles!$A$2:$A$97=$A61),(Colles!I$2:I$97=$B61),(Colles!$B$2:$B$97))&gt;0,sumproduct((Colles!$A$2:$A$97=$A61),(Colles!I$2:I$97=$B61),(Colles!$B$2:$B$97)),"")</f>
        <v>11</v>
      </c>
      <c r="N61" s="31">
        <f>if(sumproduct((Colles!$A$2:$A$97=$A61),(Colles!J$2:J$97=$B61),(Colles!$B$2:$B$97))&gt;0,sumproduct((Colles!$A$2:$A$97=$A61),(Colles!J$2:J$97=$B61),(Colles!$B$2:$B$97)),"")</f>
        <v>2</v>
      </c>
      <c r="O61" s="31">
        <f>if(sumproduct((Colles!$A$2:$A$97=$A61),(Colles!K$2:K$97=$B61),(Colles!$B$2:$B$97))&gt;0,sumproduct((Colles!$A$2:$A$97=$A61),(Colles!K$2:K$97=$B61),(Colles!$B$2:$B$97)),"")</f>
        <v>15</v>
      </c>
      <c r="P61" s="31">
        <f>if(sumproduct((Colles!$A$2:$A$97=$A61),(Colles!L$2:L$97=$B61),(Colles!$B$2:$B$97))&gt;0,sumproduct((Colles!$A$2:$A$97=$A61),(Colles!L$2:L$97=$B61),(Colles!$B$2:$B$97)),"")</f>
        <v>8</v>
      </c>
      <c r="Q61" s="31">
        <f>if(sumproduct((Colles!$A$2:$A$97=$A61),(Colles!M$2:M$97=$B61),(Colles!$B$2:$B$97))&gt;0,sumproduct((Colles!$A$2:$A$97=$A61),(Colles!M$2:M$97=$B61),(Colles!$B$2:$B$97)),"")</f>
        <v>7</v>
      </c>
      <c r="R61" s="31">
        <f>if(sumproduct((Colles!$A$2:$A$97=$A61),(Colles!N$2:N$97=$B61),(Colles!$B$2:$B$97))&gt;0,sumproduct((Colles!$A$2:$A$97=$A61),(Colles!N$2:N$97=$B61),(Colles!$B$2:$B$97)),"")</f>
        <v>16</v>
      </c>
      <c r="S61" s="31">
        <f>if(sumproduct((Colles!$A$2:$A$97=$A61),(Colles!O$2:O$97=$B61),(Colles!$B$2:$B$97))&gt;0,sumproduct((Colles!$A$2:$A$97=$A61),(Colles!O$2:O$97=$B61),(Colles!$B$2:$B$97)),"")</f>
        <v>9</v>
      </c>
      <c r="T61" s="32"/>
      <c r="U61" s="32" t="str">
        <f>if(sumproduct((Colles!$A$2:$A$97=$A61),(Colles!Q$2:Q$97=$B61),(Colles!$B$2:$B$97))&gt;0,sumproduct((Colles!$A$2:$A$97=$A61),(Colles!Q$2:Q$97=$B61),(Colles!$B$2:$B$97)),"")</f>
        <v/>
      </c>
      <c r="V61" s="31">
        <f>if(sumproduct((Colles!$A$2:$A$97=$A61),(Colles!R$2:R$97=$B61),(Colles!$B$2:$B$97))&gt;0,sumproduct((Colles!$A$2:$A$97=$A61),(Colles!R$2:R$97=$B61),(Colles!$B$2:$B$97)),"")</f>
        <v>8</v>
      </c>
      <c r="W61" s="31">
        <f>if(sumproduct((Colles!$A$2:$A$97=$A61),(Colles!S$2:S$97=$B61),(Colles!$B$2:$B$97))&gt;0,sumproduct((Colles!$A$2:$A$97=$A61),(Colles!S$2:S$97=$B61),(Colles!$B$2:$B$97)),"")</f>
        <v>13</v>
      </c>
    </row>
    <row r="62"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D63" s="1"/>
      <c r="E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D65" s="1"/>
      <c r="E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D67" s="1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D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D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D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D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D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D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D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D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D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D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D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D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D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D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D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D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D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D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D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D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D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D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D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D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D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D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D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D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D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D107" s="1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D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D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D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D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D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D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D114" s="1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D115" s="1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D117" s="1"/>
      <c r="E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D118" s="1"/>
      <c r="E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D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D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D122" s="1"/>
      <c r="E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D123" s="1"/>
      <c r="E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D124" s="1"/>
      <c r="E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D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D126" s="1"/>
      <c r="E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D127" s="1"/>
      <c r="E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D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D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D130" s="1"/>
      <c r="E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D131" s="1"/>
      <c r="E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D132" s="1"/>
      <c r="E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D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D134" s="1"/>
      <c r="E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D135" s="1"/>
      <c r="E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D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D137" s="1"/>
      <c r="E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D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D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D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D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D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D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D144" s="1"/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D145" s="1"/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D146" s="1"/>
      <c r="E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D147" s="1"/>
      <c r="E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D148" s="1"/>
      <c r="E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D149" s="1"/>
      <c r="E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D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D151" s="1"/>
      <c r="E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D152" s="1"/>
      <c r="E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D153" s="1"/>
      <c r="E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D154" s="1"/>
      <c r="E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D155" s="1"/>
      <c r="E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D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D157" s="1"/>
      <c r="E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D158" s="1"/>
      <c r="E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D159" s="1"/>
      <c r="E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D160" s="1"/>
      <c r="E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D161" s="1"/>
      <c r="E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D162" s="1"/>
      <c r="E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D163" s="1"/>
      <c r="E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D164" s="1"/>
      <c r="E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D165" s="1"/>
      <c r="E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D166" s="1"/>
      <c r="E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D167" s="1"/>
      <c r="E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D168" s="1"/>
      <c r="E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D169" s="1"/>
      <c r="E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D170" s="1"/>
      <c r="E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D171" s="1"/>
      <c r="E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D172" s="1"/>
      <c r="E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D173" s="1"/>
      <c r="E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D174" s="1"/>
      <c r="E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D175" s="1"/>
      <c r="E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D176" s="1"/>
      <c r="E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D177" s="1"/>
      <c r="E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D178" s="1"/>
      <c r="E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D179" s="1"/>
      <c r="E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D180" s="1"/>
      <c r="E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D181" s="1"/>
      <c r="E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D182" s="1"/>
      <c r="E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D183" s="1"/>
      <c r="E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D184" s="1"/>
      <c r="E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D185" s="1"/>
      <c r="E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D186" s="1"/>
      <c r="E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D187" s="1"/>
      <c r="E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D188" s="1"/>
      <c r="E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D189" s="1"/>
      <c r="E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D190" s="1"/>
      <c r="E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D191" s="1"/>
      <c r="E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D192" s="1"/>
      <c r="E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D193" s="1"/>
      <c r="E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D194" s="1"/>
      <c r="E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D195" s="1"/>
      <c r="E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D196" s="1"/>
      <c r="E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D197" s="1"/>
      <c r="E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D198" s="1"/>
      <c r="E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D199" s="1"/>
      <c r="E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D200" s="1"/>
      <c r="E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D201" s="1"/>
      <c r="E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D202" s="1"/>
      <c r="E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D203" s="1"/>
      <c r="E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D204" s="1"/>
      <c r="E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D205" s="1"/>
      <c r="E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D206" s="1"/>
      <c r="E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D207" s="1"/>
      <c r="E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D208" s="1"/>
      <c r="E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D209" s="1"/>
      <c r="E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D210" s="1"/>
      <c r="E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D211" s="1"/>
      <c r="E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D212" s="1"/>
      <c r="E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D213" s="1"/>
      <c r="E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D214" s="1"/>
      <c r="E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D215" s="1"/>
      <c r="E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D216" s="1"/>
      <c r="E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D217" s="1"/>
      <c r="E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D218" s="1"/>
      <c r="E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D219" s="1"/>
      <c r="E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D220" s="1"/>
      <c r="E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D221" s="1"/>
      <c r="E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D222" s="1"/>
      <c r="E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D223" s="1"/>
      <c r="E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D224" s="1"/>
      <c r="E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D225" s="1"/>
      <c r="E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D226" s="1"/>
      <c r="E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D227" s="1"/>
      <c r="E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D228" s="1"/>
      <c r="E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D229" s="1"/>
      <c r="E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D230" s="1"/>
      <c r="E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D231" s="1"/>
      <c r="E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D232" s="1"/>
      <c r="E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D233" s="1"/>
      <c r="E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D234" s="1"/>
      <c r="E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D235" s="1"/>
      <c r="E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D236" s="1"/>
      <c r="E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D237" s="1"/>
      <c r="E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D238" s="1"/>
      <c r="E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D239" s="1"/>
      <c r="E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D240" s="1"/>
      <c r="E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D241" s="1"/>
      <c r="E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D242" s="1"/>
      <c r="E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D243" s="1"/>
      <c r="E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D244" s="1"/>
      <c r="E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D245" s="1"/>
      <c r="E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D246" s="1"/>
      <c r="E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D247" s="1"/>
      <c r="E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D248" s="1"/>
      <c r="E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D249" s="1"/>
      <c r="E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D250" s="1"/>
      <c r="E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D251" s="1"/>
      <c r="E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D252" s="1"/>
      <c r="E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D253" s="1"/>
      <c r="E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D254" s="1"/>
      <c r="E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D255" s="1"/>
      <c r="E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D256" s="1"/>
      <c r="E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D257" s="1"/>
      <c r="E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D258" s="1"/>
      <c r="E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D259" s="1"/>
      <c r="E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D260" s="1"/>
      <c r="E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D261" s="1"/>
      <c r="E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D262" s="1"/>
      <c r="E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D263" s="1"/>
      <c r="E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D264" s="1"/>
      <c r="E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D265" s="1"/>
      <c r="E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D266" s="1"/>
      <c r="E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D267" s="1"/>
      <c r="E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D268" s="1"/>
      <c r="E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D269" s="1"/>
      <c r="E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D270" s="1"/>
      <c r="E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D271" s="1"/>
      <c r="E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D272" s="1"/>
      <c r="E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D273" s="1"/>
      <c r="E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D274" s="1"/>
      <c r="E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D275" s="1"/>
      <c r="E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D276" s="1"/>
      <c r="E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D277" s="1"/>
      <c r="E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D278" s="1"/>
      <c r="E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D279" s="1"/>
      <c r="E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D280" s="1"/>
      <c r="E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D281" s="1"/>
      <c r="E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D282" s="1"/>
      <c r="E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D283" s="1"/>
      <c r="E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D284" s="1"/>
      <c r="E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D285" s="1"/>
      <c r="E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D286" s="1"/>
      <c r="E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D287" s="1"/>
      <c r="E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D288" s="1"/>
      <c r="E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D289" s="1"/>
      <c r="E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D290" s="1"/>
      <c r="E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D291" s="1"/>
      <c r="E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D292" s="1"/>
      <c r="E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D293" s="1"/>
      <c r="E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D294" s="1"/>
      <c r="E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D295" s="1"/>
      <c r="E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D296" s="1"/>
      <c r="E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D297" s="1"/>
      <c r="E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D298" s="1"/>
      <c r="E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D299" s="1"/>
      <c r="E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D300" s="1"/>
      <c r="E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D301" s="1"/>
      <c r="E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D302" s="1"/>
      <c r="E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D303" s="1"/>
      <c r="E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D304" s="1"/>
      <c r="E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D305" s="1"/>
      <c r="E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D306" s="1"/>
      <c r="E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D307" s="1"/>
      <c r="E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D308" s="1"/>
      <c r="E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D309" s="1"/>
      <c r="E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D310" s="1"/>
      <c r="E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D311" s="1"/>
      <c r="E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D312" s="1"/>
      <c r="E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D313" s="1"/>
      <c r="E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D314" s="1"/>
      <c r="E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D315" s="1"/>
      <c r="E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D316" s="1"/>
      <c r="E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D317" s="1"/>
      <c r="E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D318" s="1"/>
      <c r="E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D319" s="1"/>
      <c r="E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D320" s="1"/>
      <c r="E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D321" s="1"/>
      <c r="E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D322" s="1"/>
      <c r="E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D323" s="1"/>
      <c r="E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D324" s="1"/>
      <c r="E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D325" s="1"/>
      <c r="E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D326" s="1"/>
      <c r="E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D327" s="1"/>
      <c r="E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D328" s="1"/>
      <c r="E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D329" s="1"/>
      <c r="E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D330" s="1"/>
      <c r="E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D331" s="1"/>
      <c r="E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D332" s="1"/>
      <c r="E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D333" s="1"/>
      <c r="E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D334" s="1"/>
      <c r="E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D335" s="1"/>
      <c r="E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D336" s="1"/>
      <c r="E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D337" s="1"/>
      <c r="E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D338" s="1"/>
      <c r="E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D339" s="1"/>
      <c r="E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D340" s="1"/>
      <c r="E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D341" s="1"/>
      <c r="E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D342" s="1"/>
      <c r="E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D343" s="1"/>
      <c r="E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D344" s="1"/>
      <c r="E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D345" s="1"/>
      <c r="E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D346" s="1"/>
      <c r="E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D347" s="1"/>
      <c r="E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D348" s="1"/>
      <c r="E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D349" s="1"/>
      <c r="E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D350" s="1"/>
      <c r="E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D351" s="1"/>
      <c r="E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D352" s="1"/>
      <c r="E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D353" s="1"/>
      <c r="E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D354" s="1"/>
      <c r="E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D355" s="1"/>
      <c r="E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D356" s="1"/>
      <c r="E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D357" s="1"/>
      <c r="E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D358" s="1"/>
      <c r="E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D359" s="1"/>
      <c r="E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D360" s="1"/>
      <c r="E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D361" s="1"/>
      <c r="E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D362" s="1"/>
      <c r="E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D363" s="1"/>
      <c r="E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D364" s="1"/>
      <c r="E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D365" s="1"/>
      <c r="E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D366" s="1"/>
      <c r="E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D367" s="1"/>
      <c r="E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D368" s="1"/>
      <c r="E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D369" s="1"/>
      <c r="E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D370" s="1"/>
      <c r="E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D371" s="1"/>
      <c r="E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D372" s="1"/>
      <c r="E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D373" s="1"/>
      <c r="E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D374" s="1"/>
      <c r="E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D375" s="1"/>
      <c r="E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D376" s="1"/>
      <c r="E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D377" s="1"/>
      <c r="E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D378" s="1"/>
      <c r="E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D379" s="1"/>
      <c r="E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D380" s="1"/>
      <c r="E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D381" s="1"/>
      <c r="E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D382" s="1"/>
      <c r="E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D383" s="1"/>
      <c r="E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D384" s="1"/>
      <c r="E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D385" s="1"/>
      <c r="E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D386" s="1"/>
      <c r="E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D387" s="1"/>
      <c r="E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D388" s="1"/>
      <c r="E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D389" s="1"/>
      <c r="E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D390" s="1"/>
      <c r="E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D391" s="1"/>
      <c r="E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D392" s="1"/>
      <c r="E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D393" s="1"/>
      <c r="E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D394" s="1"/>
      <c r="E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D395" s="1"/>
      <c r="E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D396" s="1"/>
      <c r="E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D397" s="1"/>
      <c r="E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D398" s="1"/>
      <c r="E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D399" s="1"/>
      <c r="E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D400" s="1"/>
      <c r="E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D401" s="1"/>
      <c r="E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D402" s="1"/>
      <c r="E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D403" s="1"/>
      <c r="E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D404" s="1"/>
      <c r="E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D405" s="1"/>
      <c r="E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D406" s="1"/>
      <c r="E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D407" s="1"/>
      <c r="E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D408" s="1"/>
      <c r="E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D409" s="1"/>
      <c r="E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D410" s="1"/>
      <c r="E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D411" s="1"/>
      <c r="E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D412" s="1"/>
      <c r="E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D413" s="1"/>
      <c r="E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D414" s="1"/>
      <c r="E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D415" s="1"/>
      <c r="E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D416" s="1"/>
      <c r="E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D417" s="1"/>
      <c r="E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D418" s="1"/>
      <c r="E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D419" s="1"/>
      <c r="E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D420" s="1"/>
      <c r="E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D421" s="1"/>
      <c r="E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D422" s="1"/>
      <c r="E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D423" s="1"/>
      <c r="E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D424" s="1"/>
      <c r="E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D425" s="1"/>
      <c r="E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D426" s="1"/>
      <c r="E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D427" s="1"/>
      <c r="E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D428" s="1"/>
      <c r="E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D429" s="1"/>
      <c r="E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D430" s="1"/>
      <c r="E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D431" s="1"/>
      <c r="E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D432" s="1"/>
      <c r="E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D433" s="1"/>
      <c r="E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D434" s="1"/>
      <c r="E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D435" s="1"/>
      <c r="E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D436" s="1"/>
      <c r="E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D437" s="1"/>
      <c r="E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D438" s="1"/>
      <c r="E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D439" s="1"/>
      <c r="E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D440" s="1"/>
      <c r="E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D441" s="1"/>
      <c r="E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D442" s="1"/>
      <c r="E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D443" s="1"/>
      <c r="E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D444" s="1"/>
      <c r="E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D445" s="1"/>
      <c r="E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D446" s="1"/>
      <c r="E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D447" s="1"/>
      <c r="E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D448" s="1"/>
      <c r="E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D449" s="1"/>
      <c r="E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D450" s="1"/>
      <c r="E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D451" s="1"/>
      <c r="E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D452" s="1"/>
      <c r="E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D453" s="1"/>
      <c r="E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D454" s="1"/>
      <c r="E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D455" s="1"/>
      <c r="E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D456" s="1"/>
      <c r="E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D457" s="1"/>
      <c r="E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D458" s="1"/>
      <c r="E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D459" s="1"/>
      <c r="E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D460" s="1"/>
      <c r="E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D461" s="1"/>
      <c r="E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D462" s="1"/>
      <c r="E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D463" s="1"/>
      <c r="E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D464" s="1"/>
      <c r="E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D465" s="1"/>
      <c r="E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D466" s="1"/>
      <c r="E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D467" s="1"/>
      <c r="E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D468" s="1"/>
      <c r="E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D469" s="1"/>
      <c r="E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D470" s="1"/>
      <c r="E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D471" s="1"/>
      <c r="E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D472" s="1"/>
      <c r="E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D473" s="1"/>
      <c r="E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D474" s="1"/>
      <c r="E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D475" s="1"/>
      <c r="E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D476" s="1"/>
      <c r="E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D477" s="1"/>
      <c r="E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D478" s="1"/>
      <c r="E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D479" s="1"/>
      <c r="E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D480" s="1"/>
      <c r="E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D481" s="1"/>
      <c r="E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D482" s="1"/>
      <c r="E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D483" s="1"/>
      <c r="E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D484" s="1"/>
      <c r="E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D485" s="1"/>
      <c r="E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D486" s="1"/>
      <c r="E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D487" s="1"/>
      <c r="E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D488" s="1"/>
      <c r="E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D489" s="1"/>
      <c r="E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D490" s="1"/>
      <c r="E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D491" s="1"/>
      <c r="E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D492" s="1"/>
      <c r="E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D493" s="1"/>
      <c r="E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D494" s="1"/>
      <c r="E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D495" s="1"/>
      <c r="E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D496" s="1"/>
      <c r="E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D497" s="1"/>
      <c r="E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D498" s="1"/>
      <c r="E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D499" s="1"/>
      <c r="E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D500" s="1"/>
      <c r="E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D501" s="1"/>
      <c r="E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D502" s="1"/>
      <c r="E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D503" s="1"/>
      <c r="E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D504" s="1"/>
      <c r="E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D505" s="1"/>
      <c r="E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D506" s="1"/>
      <c r="E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D507" s="1"/>
      <c r="E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D508" s="1"/>
      <c r="E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D509" s="1"/>
      <c r="E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D510" s="1"/>
      <c r="E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D511" s="1"/>
      <c r="E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D512" s="1"/>
      <c r="E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D513" s="1"/>
      <c r="E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D514" s="1"/>
      <c r="E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D515" s="1"/>
      <c r="E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D516" s="1"/>
      <c r="E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D517" s="1"/>
      <c r="E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D518" s="1"/>
      <c r="E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D519" s="1"/>
      <c r="E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D520" s="1"/>
      <c r="E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D521" s="1"/>
      <c r="E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D522" s="1"/>
      <c r="E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D523" s="1"/>
      <c r="E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D524" s="1"/>
      <c r="E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D525" s="1"/>
      <c r="E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D526" s="1"/>
      <c r="E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D527" s="1"/>
      <c r="E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D528" s="1"/>
      <c r="E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D529" s="1"/>
      <c r="E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D530" s="1"/>
      <c r="E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D531" s="1"/>
      <c r="E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D532" s="1"/>
      <c r="E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D533" s="1"/>
      <c r="E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D534" s="1"/>
      <c r="E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D535" s="1"/>
      <c r="E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D536" s="1"/>
      <c r="E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D537" s="1"/>
      <c r="E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D538" s="1"/>
      <c r="E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D539" s="1"/>
      <c r="E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D540" s="1"/>
      <c r="E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D541" s="1"/>
      <c r="E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D542" s="1"/>
      <c r="E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D543" s="1"/>
      <c r="E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D544" s="1"/>
      <c r="E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D545" s="1"/>
      <c r="E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D546" s="1"/>
      <c r="E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D547" s="1"/>
      <c r="E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D548" s="1"/>
      <c r="E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D549" s="1"/>
      <c r="E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D550" s="1"/>
      <c r="E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D551" s="1"/>
      <c r="E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D552" s="1"/>
      <c r="E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D553" s="1"/>
      <c r="E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D554" s="1"/>
      <c r="E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D555" s="1"/>
      <c r="E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D556" s="1"/>
      <c r="E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D557" s="1"/>
      <c r="E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D558" s="1"/>
      <c r="E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D559" s="1"/>
      <c r="E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D560" s="1"/>
      <c r="E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D561" s="1"/>
      <c r="E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D562" s="1"/>
      <c r="E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D563" s="1"/>
      <c r="E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D564" s="1"/>
      <c r="E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D565" s="1"/>
      <c r="E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D566" s="1"/>
      <c r="E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D567" s="1"/>
      <c r="E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D568" s="1"/>
      <c r="E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D569" s="1"/>
      <c r="E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D570" s="1"/>
      <c r="E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D571" s="1"/>
      <c r="E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D572" s="1"/>
      <c r="E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D573" s="1"/>
      <c r="E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D574" s="1"/>
      <c r="E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D575" s="1"/>
      <c r="E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D576" s="1"/>
      <c r="E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D577" s="1"/>
      <c r="E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D578" s="1"/>
      <c r="E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D579" s="1"/>
      <c r="E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D580" s="1"/>
      <c r="E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D581" s="1"/>
      <c r="E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D582" s="1"/>
      <c r="E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D583" s="1"/>
      <c r="E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D584" s="1"/>
      <c r="E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D585" s="1"/>
      <c r="E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D586" s="1"/>
      <c r="E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D587" s="1"/>
      <c r="E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D588" s="1"/>
      <c r="E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D589" s="1"/>
      <c r="E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D590" s="1"/>
      <c r="E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D591" s="1"/>
      <c r="E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D592" s="1"/>
      <c r="E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D593" s="1"/>
      <c r="E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D594" s="1"/>
      <c r="E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D595" s="1"/>
      <c r="E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D596" s="1"/>
      <c r="E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D597" s="1"/>
      <c r="E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D598" s="1"/>
      <c r="E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D599" s="1"/>
      <c r="E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D600" s="1"/>
      <c r="E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D601" s="1"/>
      <c r="E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D602" s="1"/>
      <c r="E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D603" s="1"/>
      <c r="E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D604" s="1"/>
      <c r="E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D605" s="1"/>
      <c r="E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D606" s="1"/>
      <c r="E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D607" s="1"/>
      <c r="E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D608" s="1"/>
      <c r="E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D609" s="1"/>
      <c r="E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D610" s="1"/>
      <c r="E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D611" s="1"/>
      <c r="E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D612" s="1"/>
      <c r="E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D613" s="1"/>
      <c r="E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D614" s="1"/>
      <c r="E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D615" s="1"/>
      <c r="E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D616" s="1"/>
      <c r="E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D617" s="1"/>
      <c r="E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D618" s="1"/>
      <c r="E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D619" s="1"/>
      <c r="E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D620" s="1"/>
      <c r="E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D621" s="1"/>
      <c r="E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D622" s="1"/>
      <c r="E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D623" s="1"/>
      <c r="E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D624" s="1"/>
      <c r="E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D625" s="1"/>
      <c r="E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D626" s="1"/>
      <c r="E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D627" s="1"/>
      <c r="E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D628" s="1"/>
      <c r="E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D629" s="1"/>
      <c r="E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D630" s="1"/>
      <c r="E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D631" s="1"/>
      <c r="E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D632" s="1"/>
      <c r="E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D633" s="1"/>
      <c r="E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D634" s="1"/>
      <c r="E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D635" s="1"/>
      <c r="E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D636" s="1"/>
      <c r="E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D637" s="1"/>
      <c r="E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D638" s="1"/>
      <c r="E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D639" s="1"/>
      <c r="E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D640" s="1"/>
      <c r="E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D641" s="1"/>
      <c r="E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D642" s="1"/>
      <c r="E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D643" s="1"/>
      <c r="E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D644" s="1"/>
      <c r="E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D645" s="1"/>
      <c r="E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D646" s="1"/>
      <c r="E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D647" s="1"/>
      <c r="E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D648" s="1"/>
      <c r="E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D649" s="1"/>
      <c r="E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D650" s="1"/>
      <c r="E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D651" s="1"/>
      <c r="E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D652" s="1"/>
      <c r="E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D653" s="1"/>
      <c r="E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D654" s="1"/>
      <c r="E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D655" s="1"/>
      <c r="E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D656" s="1"/>
      <c r="E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D657" s="1"/>
      <c r="E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D658" s="1"/>
      <c r="E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D659" s="1"/>
      <c r="E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D660" s="1"/>
      <c r="E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D661" s="1"/>
      <c r="E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D662" s="1"/>
      <c r="E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D663" s="1"/>
      <c r="E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D664" s="1"/>
      <c r="E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D665" s="1"/>
      <c r="E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D666" s="1"/>
      <c r="E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D667" s="1"/>
      <c r="E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D668" s="1"/>
      <c r="E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D669" s="1"/>
      <c r="E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D670" s="1"/>
      <c r="E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D671" s="1"/>
      <c r="E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D672" s="1"/>
      <c r="E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D673" s="1"/>
      <c r="E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D674" s="1"/>
      <c r="E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D675" s="1"/>
      <c r="E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D676" s="1"/>
      <c r="E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D677" s="1"/>
      <c r="E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D678" s="1"/>
      <c r="E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D679" s="1"/>
      <c r="E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D680" s="1"/>
      <c r="E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D681" s="1"/>
      <c r="E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D682" s="1"/>
      <c r="E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D683" s="1"/>
      <c r="E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D684" s="1"/>
      <c r="E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D685" s="1"/>
      <c r="E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D686" s="1"/>
      <c r="E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D687" s="1"/>
      <c r="E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D688" s="1"/>
      <c r="E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D689" s="1"/>
      <c r="E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D690" s="1"/>
      <c r="E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D691" s="1"/>
      <c r="E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D692" s="1"/>
      <c r="E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D693" s="1"/>
      <c r="E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D694" s="1"/>
      <c r="E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D695" s="1"/>
      <c r="E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D696" s="1"/>
      <c r="E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D697" s="1"/>
      <c r="E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D698" s="1"/>
      <c r="E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D699" s="1"/>
      <c r="E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D700" s="1"/>
      <c r="E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D701" s="1"/>
      <c r="E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D702" s="1"/>
      <c r="E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D703" s="1"/>
      <c r="E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D704" s="1"/>
      <c r="E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D705" s="1"/>
      <c r="E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D706" s="1"/>
      <c r="E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D707" s="1"/>
      <c r="E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D708" s="1"/>
      <c r="E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D709" s="1"/>
      <c r="E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D710" s="1"/>
      <c r="E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D711" s="1"/>
      <c r="E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D712" s="1"/>
      <c r="E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D713" s="1"/>
      <c r="E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D714" s="1"/>
      <c r="E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D715" s="1"/>
      <c r="E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D716" s="1"/>
      <c r="E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D717" s="1"/>
      <c r="E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D718" s="1"/>
      <c r="E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D719" s="1"/>
      <c r="E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D720" s="1"/>
      <c r="E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D721" s="1"/>
      <c r="E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D722" s="1"/>
      <c r="E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D723" s="1"/>
      <c r="E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D724" s="1"/>
      <c r="E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D725" s="1"/>
      <c r="E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D726" s="1"/>
      <c r="E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D727" s="1"/>
      <c r="E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D728" s="1"/>
      <c r="E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D729" s="1"/>
      <c r="E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D730" s="1"/>
      <c r="E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D731" s="1"/>
      <c r="E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D732" s="1"/>
      <c r="E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D733" s="1"/>
      <c r="E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D734" s="1"/>
      <c r="E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D735" s="1"/>
      <c r="E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D736" s="1"/>
      <c r="E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D737" s="1"/>
      <c r="E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D738" s="1"/>
      <c r="E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D739" s="1"/>
      <c r="E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D740" s="1"/>
      <c r="E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D741" s="1"/>
      <c r="E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D742" s="1"/>
      <c r="E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D743" s="1"/>
      <c r="E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D744" s="1"/>
      <c r="E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D745" s="1"/>
      <c r="E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D746" s="1"/>
      <c r="E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D747" s="1"/>
      <c r="E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D748" s="1"/>
      <c r="E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D749" s="1"/>
      <c r="E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D750" s="1"/>
      <c r="E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D751" s="1"/>
      <c r="E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D752" s="1"/>
      <c r="E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D753" s="1"/>
      <c r="E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D754" s="1"/>
      <c r="E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D755" s="1"/>
      <c r="E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D756" s="1"/>
      <c r="E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D757" s="1"/>
      <c r="E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D758" s="1"/>
      <c r="E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D759" s="1"/>
      <c r="E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D760" s="1"/>
      <c r="E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D761" s="1"/>
      <c r="E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D762" s="1"/>
      <c r="E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D763" s="1"/>
      <c r="E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D764" s="1"/>
      <c r="E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D765" s="1"/>
      <c r="E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D766" s="1"/>
      <c r="E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D767" s="1"/>
      <c r="E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D768" s="1"/>
      <c r="E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D769" s="1"/>
      <c r="E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D770" s="1"/>
      <c r="E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D771" s="1"/>
      <c r="E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D772" s="1"/>
      <c r="E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D773" s="1"/>
      <c r="E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D774" s="1"/>
      <c r="E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D775" s="1"/>
      <c r="E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D776" s="1"/>
      <c r="E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D777" s="1"/>
      <c r="E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D778" s="1"/>
      <c r="E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D779" s="1"/>
      <c r="E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D780" s="1"/>
      <c r="E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D781" s="1"/>
      <c r="E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D782" s="1"/>
      <c r="E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D783" s="1"/>
      <c r="E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D784" s="1"/>
      <c r="E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D785" s="1"/>
      <c r="E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D786" s="1"/>
      <c r="E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D787" s="1"/>
      <c r="E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D788" s="1"/>
      <c r="E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D789" s="1"/>
      <c r="E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D790" s="1"/>
      <c r="E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D791" s="1"/>
      <c r="E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D792" s="1"/>
      <c r="E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D793" s="1"/>
      <c r="E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D794" s="1"/>
      <c r="E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D795" s="1"/>
      <c r="E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D796" s="1"/>
      <c r="E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D797" s="1"/>
      <c r="E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D798" s="1"/>
      <c r="E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D799" s="1"/>
      <c r="E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D800" s="1"/>
      <c r="E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D801" s="1"/>
      <c r="E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D802" s="1"/>
      <c r="E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D803" s="1"/>
      <c r="E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D804" s="1"/>
      <c r="E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D805" s="1"/>
      <c r="E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D806" s="1"/>
      <c r="E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D807" s="1"/>
      <c r="E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D808" s="1"/>
      <c r="E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D809" s="1"/>
      <c r="E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D810" s="1"/>
      <c r="E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D811" s="1"/>
      <c r="E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D812" s="1"/>
      <c r="E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D813" s="1"/>
      <c r="E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D814" s="1"/>
      <c r="E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D815" s="1"/>
      <c r="E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D816" s="1"/>
      <c r="E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D817" s="1"/>
      <c r="E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D818" s="1"/>
      <c r="E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D819" s="1"/>
      <c r="E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D820" s="1"/>
      <c r="E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D821" s="1"/>
      <c r="E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D822" s="1"/>
      <c r="E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D823" s="1"/>
      <c r="E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D824" s="1"/>
      <c r="E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D825" s="1"/>
      <c r="E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D826" s="1"/>
      <c r="E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D827" s="1"/>
      <c r="E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D828" s="1"/>
      <c r="E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D829" s="1"/>
      <c r="E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D830" s="1"/>
      <c r="E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D831" s="1"/>
      <c r="E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D832" s="1"/>
      <c r="E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D833" s="1"/>
      <c r="E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D834" s="1"/>
      <c r="E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D835" s="1"/>
      <c r="E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D836" s="1"/>
      <c r="E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D837" s="1"/>
      <c r="E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D838" s="1"/>
      <c r="E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D839" s="1"/>
      <c r="E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D840" s="1"/>
      <c r="E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D841" s="1"/>
      <c r="E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D842" s="1"/>
      <c r="E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D843" s="1"/>
      <c r="E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D844" s="1"/>
      <c r="E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D845" s="1"/>
      <c r="E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D846" s="1"/>
      <c r="E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D847" s="1"/>
      <c r="E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D848" s="1"/>
      <c r="E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D849" s="1"/>
      <c r="E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D850" s="1"/>
      <c r="E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D851" s="1"/>
      <c r="E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D852" s="1"/>
      <c r="E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D853" s="1"/>
      <c r="E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D854" s="1"/>
      <c r="E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D855" s="1"/>
      <c r="E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D856" s="1"/>
      <c r="E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D857" s="1"/>
      <c r="E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D858" s="1"/>
      <c r="E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D859" s="1"/>
      <c r="E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D860" s="1"/>
      <c r="E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D861" s="1"/>
      <c r="E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D862" s="1"/>
      <c r="E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D863" s="1"/>
      <c r="E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D864" s="1"/>
      <c r="E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D865" s="1"/>
      <c r="E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D866" s="1"/>
      <c r="E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D867" s="1"/>
      <c r="E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D868" s="1"/>
      <c r="E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D869" s="1"/>
      <c r="E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D870" s="1"/>
      <c r="E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D871" s="1"/>
      <c r="E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D872" s="1"/>
      <c r="E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D873" s="1"/>
      <c r="E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D874" s="1"/>
      <c r="E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D875" s="1"/>
      <c r="E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D876" s="1"/>
      <c r="E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D877" s="1"/>
      <c r="E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D878" s="1"/>
      <c r="E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D879" s="1"/>
      <c r="E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D880" s="1"/>
      <c r="E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D881" s="1"/>
      <c r="E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D882" s="1"/>
      <c r="E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D883" s="1"/>
      <c r="E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D884" s="1"/>
      <c r="E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D885" s="1"/>
      <c r="E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D886" s="1"/>
      <c r="E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D887" s="1"/>
      <c r="E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D888" s="1"/>
      <c r="E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D889" s="1"/>
      <c r="E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D890" s="1"/>
      <c r="E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D891" s="1"/>
      <c r="E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D892" s="1"/>
      <c r="E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D893" s="1"/>
      <c r="E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D894" s="1"/>
      <c r="E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D895" s="1"/>
      <c r="E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D896" s="1"/>
      <c r="E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D897" s="1"/>
      <c r="E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D898" s="1"/>
      <c r="E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D899" s="1"/>
      <c r="E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D900" s="1"/>
      <c r="E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D901" s="1"/>
      <c r="E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D902" s="1"/>
      <c r="E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D903" s="1"/>
      <c r="E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D904" s="1"/>
      <c r="E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D905" s="1"/>
      <c r="E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D906" s="1"/>
      <c r="E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D907" s="1"/>
      <c r="E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D908" s="1"/>
      <c r="E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D909" s="1"/>
      <c r="E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D910" s="1"/>
      <c r="E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D911" s="1"/>
      <c r="E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D912" s="1"/>
      <c r="E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D913" s="1"/>
      <c r="E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D914" s="1"/>
      <c r="E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D915" s="1"/>
      <c r="E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D916" s="1"/>
      <c r="E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D917" s="1"/>
      <c r="E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D918" s="1"/>
      <c r="E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D919" s="1"/>
      <c r="E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D920" s="1"/>
      <c r="E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D921" s="1"/>
      <c r="E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D922" s="1"/>
      <c r="E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D923" s="1"/>
      <c r="E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D924" s="1"/>
      <c r="E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D925" s="1"/>
      <c r="E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D926" s="1"/>
      <c r="E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D927" s="1"/>
      <c r="E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D928" s="1"/>
      <c r="E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D929" s="1"/>
      <c r="E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D930" s="1"/>
      <c r="E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D931" s="1"/>
      <c r="E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D932" s="1"/>
      <c r="E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D933" s="1"/>
      <c r="E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D934" s="1"/>
      <c r="E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D935" s="1"/>
      <c r="E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D936" s="1"/>
      <c r="E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D937" s="1"/>
      <c r="E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D938" s="1"/>
      <c r="E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D939" s="1"/>
      <c r="E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D940" s="1"/>
      <c r="E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D941" s="1"/>
      <c r="E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D942" s="1"/>
      <c r="E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D943" s="1"/>
      <c r="E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D944" s="1"/>
      <c r="E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D945" s="1"/>
      <c r="E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D946" s="1"/>
      <c r="E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D947" s="1"/>
      <c r="E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D948" s="1"/>
      <c r="E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D949" s="1"/>
      <c r="E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D950" s="1"/>
      <c r="E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D951" s="1"/>
      <c r="E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D952" s="1"/>
      <c r="E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D953" s="1"/>
      <c r="E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D954" s="1"/>
      <c r="E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D955" s="1"/>
      <c r="E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D956" s="1"/>
      <c r="E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D957" s="1"/>
      <c r="E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D958" s="1"/>
      <c r="E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D959" s="1"/>
      <c r="E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D960" s="1"/>
      <c r="E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D961" s="1"/>
      <c r="E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D962" s="1"/>
      <c r="E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D963" s="1"/>
      <c r="E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D964" s="1"/>
      <c r="E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D965" s="1"/>
      <c r="E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D966" s="1"/>
      <c r="E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D967" s="1"/>
      <c r="E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D968" s="1"/>
      <c r="E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D969" s="1"/>
      <c r="E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D970" s="1"/>
      <c r="E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D971" s="1"/>
      <c r="E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D972" s="1"/>
      <c r="E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D973" s="1"/>
      <c r="E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D974" s="1"/>
      <c r="E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D975" s="1"/>
      <c r="E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D976" s="1"/>
      <c r="E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D977" s="1"/>
      <c r="E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D978" s="1"/>
      <c r="E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D979" s="1"/>
      <c r="E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D980" s="1"/>
      <c r="E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D981" s="1"/>
      <c r="E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D982" s="1"/>
      <c r="E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D983" s="1"/>
      <c r="E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D984" s="1"/>
      <c r="E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D985" s="1"/>
      <c r="E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D986" s="1"/>
      <c r="E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D987" s="1"/>
      <c r="E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D988" s="1"/>
      <c r="E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D989" s="1"/>
      <c r="E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D990" s="1"/>
      <c r="E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D991" s="1"/>
      <c r="E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D992" s="1"/>
      <c r="E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D993" s="1"/>
      <c r="E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D994" s="1"/>
      <c r="E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D995" s="1"/>
      <c r="E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D996" s="1"/>
      <c r="E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D997" s="1"/>
      <c r="E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D998" s="1"/>
      <c r="E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D999" s="1"/>
      <c r="E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D1000" s="1"/>
      <c r="E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D1001" s="1"/>
      <c r="E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D1002" s="1"/>
      <c r="E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D1003" s="1"/>
      <c r="E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D1004" s="1"/>
      <c r="E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>
      <c r="D1005" s="1"/>
      <c r="E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>
      <c r="D1006" s="1"/>
      <c r="E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>
      <c r="D1007" s="1"/>
      <c r="E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>
      <c r="D1008" s="1"/>
      <c r="E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>
      <c r="D1009" s="1"/>
      <c r="E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>
      <c r="D1010" s="1"/>
      <c r="E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>
      <c r="D1011" s="1"/>
      <c r="E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>
      <c r="D1012" s="1"/>
      <c r="E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>
      <c r="D1013" s="1"/>
      <c r="E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>
      <c r="D1014" s="1"/>
      <c r="E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>
      <c r="D1015" s="1"/>
      <c r="E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>
      <c r="D1016" s="1"/>
      <c r="E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>
      <c r="D1017" s="1"/>
      <c r="E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>
      <c r="D1018" s="1"/>
      <c r="E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>
      <c r="D1019" s="1"/>
      <c r="E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>
      <c r="D1020" s="1"/>
      <c r="E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</sheetData>
  <mergeCells count="5">
    <mergeCell ref="Z3:Z4"/>
    <mergeCell ref="Z5:Z6"/>
    <mergeCell ref="Z7:Z8"/>
    <mergeCell ref="Z9:Z10"/>
    <mergeCell ref="Z19:AB20"/>
  </mergeCells>
  <conditionalFormatting sqref="G5:W15">
    <cfRule type="containsText" dxfId="3" priority="1" operator="containsText" text="C1">
      <formula>NOT(ISERROR(SEARCH(("C1"),(G5))))</formula>
    </cfRule>
  </conditionalFormatting>
  <conditionalFormatting sqref="G5:W15">
    <cfRule type="cellIs" dxfId="4" priority="2" operator="equal">
      <formula>"C2"</formula>
    </cfRule>
  </conditionalFormatting>
  <conditionalFormatting sqref="G5:W15">
    <cfRule type="cellIs" dxfId="5" priority="3" operator="equal">
      <formula>"G1"</formula>
    </cfRule>
  </conditionalFormatting>
  <conditionalFormatting sqref="G5:W15">
    <cfRule type="cellIs" dxfId="6" priority="4" operator="equal">
      <formula>"G2"</formula>
    </cfRule>
  </conditionalFormatting>
  <conditionalFormatting sqref="AC3:AC10">
    <cfRule type="cellIs" dxfId="5" priority="5" operator="equal">
      <formula>"G1"</formula>
    </cfRule>
  </conditionalFormatting>
  <conditionalFormatting sqref="AC3:AC10">
    <cfRule type="cellIs" dxfId="6" priority="6" operator="equal">
      <formula>"G2"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hidden="1" min="2" max="2" width="12.0"/>
    <col customWidth="1" hidden="1" min="3" max="3" width="15.63"/>
    <col customWidth="1" hidden="1" min="4" max="4" width="4.13"/>
    <col customWidth="1" hidden="1" min="5" max="5" width="13.0"/>
    <col customWidth="1" hidden="1" min="6" max="6" width="15.38"/>
    <col customWidth="1" hidden="1" min="7" max="7" width="13.0"/>
    <col customWidth="1" min="8" max="8" width="13.0"/>
    <col customWidth="1" min="9" max="9" width="17.88"/>
    <col customWidth="1" min="10" max="10" width="4.25"/>
    <col customWidth="1" min="11" max="12" width="3.88"/>
    <col customWidth="1" hidden="1" min="13" max="13" width="3.88"/>
    <col customWidth="1" min="14" max="14" width="23.13"/>
    <col customWidth="1" min="15" max="15" width="4.38"/>
    <col customWidth="1" min="16" max="16" width="3.0"/>
    <col customWidth="1" min="17" max="17" width="13.38"/>
    <col customWidth="1" min="18" max="18" width="15.13"/>
    <col customWidth="1" min="19" max="19" width="8.75"/>
  </cols>
  <sheetData>
    <row r="1">
      <c r="M1" s="2"/>
      <c r="N1" s="3"/>
      <c r="O1" s="5"/>
      <c r="P1" s="5"/>
      <c r="Q1" s="5"/>
      <c r="R1" s="6"/>
    </row>
    <row r="2">
      <c r="M2" s="2"/>
      <c r="N2" s="7" t="s">
        <v>0</v>
      </c>
      <c r="O2" s="8"/>
      <c r="P2" s="8"/>
      <c r="Q2" s="8"/>
      <c r="R2" s="6"/>
    </row>
    <row r="3">
      <c r="M3" s="6"/>
      <c r="N3" s="11" t="s">
        <v>1</v>
      </c>
      <c r="O3" s="14" t="str">
        <f>VLOOKUP($I$5,DatesSemaines,3,0)</f>
        <v>A</v>
      </c>
      <c r="P3" s="15"/>
      <c r="Q3" s="15"/>
      <c r="R3" s="6"/>
    </row>
    <row r="4">
      <c r="A4" s="6"/>
      <c r="B4" s="6"/>
      <c r="C4" s="6"/>
      <c r="D4" s="6"/>
      <c r="E4" s="16"/>
      <c r="F4" s="16"/>
      <c r="G4" s="16"/>
      <c r="H4" s="16" t="s">
        <v>2</v>
      </c>
      <c r="I4" s="18" t="s">
        <v>3</v>
      </c>
      <c r="M4" s="6"/>
      <c r="N4" s="16" t="s">
        <v>4</v>
      </c>
      <c r="O4" s="18">
        <f>VLOOKUP($I$4,Étudiants,2,0)</f>
        <v>6</v>
      </c>
      <c r="P4" s="6"/>
      <c r="Q4" s="6"/>
      <c r="R4" s="6"/>
    </row>
    <row r="5">
      <c r="A5" s="16"/>
      <c r="B5" s="16"/>
      <c r="C5" s="16"/>
      <c r="D5" s="16">
        <f>VLOOKUP($I$5,DatesSemaines,2,0)</f>
        <v>6</v>
      </c>
      <c r="E5" s="16"/>
      <c r="F5" s="16"/>
      <c r="G5" s="16"/>
      <c r="H5" s="16" t="s">
        <v>7</v>
      </c>
      <c r="I5" s="24">
        <v>46300.0</v>
      </c>
      <c r="M5" s="16">
        <f>VLOOKUP($O$4,Groupes,2,0)</f>
        <v>1</v>
      </c>
      <c r="N5" s="16" t="s">
        <v>8</v>
      </c>
      <c r="O5" s="25" t="s">
        <v>9</v>
      </c>
      <c r="P5" s="6"/>
      <c r="Q5" s="6"/>
      <c r="R5" s="6"/>
    </row>
    <row r="6">
      <c r="A6" s="2"/>
      <c r="M6" s="16">
        <f>VLOOKUP($O$4,Groupes,3,0)</f>
        <v>1</v>
      </c>
      <c r="N6" s="16" t="s">
        <v>10</v>
      </c>
      <c r="O6" s="25" t="s">
        <v>11</v>
      </c>
      <c r="P6" s="6"/>
      <c r="Q6" s="6"/>
      <c r="R6" s="6"/>
    </row>
    <row r="7">
      <c r="A7" s="6"/>
      <c r="M7" s="6"/>
      <c r="N7" s="29" t="str">
        <f>IF(ISTEXT($O$7),"LV2 :","")</f>
        <v/>
      </c>
      <c r="O7" s="33" t="str">
        <f>VLOOKUP($I$4,Étudiants,column('Trinômes'!$D$1)-column('Trinômes'!$A$1)+1,0)</f>
        <v/>
      </c>
      <c r="P7" s="6"/>
      <c r="Q7" s="6"/>
      <c r="R7" s="6"/>
    </row>
    <row r="8">
      <c r="A8" s="16"/>
      <c r="M8" s="6"/>
      <c r="N8" s="29"/>
      <c r="O8" s="33" t="str">
        <f>IF(ISTEXT($O$7),$I$5+Vlookup($O$7,LV2Jours,2,0),"")</f>
        <v/>
      </c>
      <c r="P8" s="6"/>
      <c r="Q8" s="6" t="str">
        <f>IF(ISTEXT($O$7),"17h","")</f>
        <v/>
      </c>
      <c r="R8" s="6"/>
    </row>
    <row r="9">
      <c r="A9" s="6"/>
      <c r="M9" s="2"/>
    </row>
    <row r="10">
      <c r="A10" s="6"/>
      <c r="B10" s="2"/>
      <c r="C10" s="2"/>
      <c r="D10" s="2"/>
      <c r="E10" s="37"/>
      <c r="F10" s="37"/>
      <c r="G10" s="37"/>
      <c r="H10" s="7" t="s">
        <v>16</v>
      </c>
      <c r="I10" s="8"/>
      <c r="J10" s="8"/>
      <c r="K10" s="8"/>
      <c r="L10" s="41"/>
      <c r="M10" s="2"/>
      <c r="N10" s="7" t="s">
        <v>19</v>
      </c>
      <c r="O10" s="8"/>
      <c r="P10" s="8"/>
      <c r="Q10" s="8"/>
      <c r="R10" s="8"/>
      <c r="S10" s="8"/>
    </row>
    <row r="11">
      <c r="A11" s="2"/>
      <c r="B11" s="16"/>
      <c r="C11" s="16"/>
      <c r="D11" s="16"/>
      <c r="E11" s="16"/>
      <c r="F11" s="16"/>
      <c r="G11" s="16"/>
      <c r="H11" s="45" t="s">
        <v>23</v>
      </c>
      <c r="I11" s="45" t="s">
        <v>24</v>
      </c>
      <c r="J11" s="45" t="s">
        <v>25</v>
      </c>
      <c r="K11" s="45"/>
      <c r="L11" s="41"/>
      <c r="M11" s="2"/>
      <c r="N11" s="8" t="s">
        <v>24</v>
      </c>
      <c r="O11" s="8" t="s">
        <v>25</v>
      </c>
      <c r="P11" s="8"/>
      <c r="Q11" s="8" t="s">
        <v>23</v>
      </c>
      <c r="R11" s="8" t="s">
        <v>27</v>
      </c>
      <c r="S11" s="8" t="s">
        <v>28</v>
      </c>
    </row>
    <row r="12">
      <c r="A12" s="2"/>
      <c r="B12" s="16" t="str">
        <f>IF(ISNUMBER($D12),"TP Physique :","")</f>
        <v>TP Physique :</v>
      </c>
      <c r="C12" s="56">
        <f t="shared" ref="C12:C14" si="1">IF(ISNUMBER($D12),$I$5+1,"")</f>
        <v>46301</v>
      </c>
      <c r="D12" s="16">
        <f>Vlookup($M$5,TPPhysique,MATCH($D$5,Semaines,0),0)</f>
        <v>10</v>
      </c>
      <c r="E12" s="16"/>
      <c r="F12" s="16"/>
      <c r="G12" s="16"/>
      <c r="H12" s="16" t="str">
        <f t="array" ref="H12:J15">sort(B12:D15,C12:C15,TRUE,D12:D15,TRUE)</f>
        <v>TP SI :</v>
      </c>
      <c r="I12" s="56">
        <v>46301.0</v>
      </c>
      <c r="J12" s="16">
        <v>8.0</v>
      </c>
      <c r="K12" s="60" t="str">
        <f t="shared" ref="K12:K15" si="2">IF(NOT(ISBLANK(J12)),"h","")</f>
        <v>h</v>
      </c>
      <c r="M12" s="16" t="str">
        <f>Vlookup($O$4,CollesM,MATCH($D$5,Semaines,0),0)</f>
        <v/>
      </c>
      <c r="N12" s="63">
        <f t="array" ref="N12:O17">sort(C17:D22,C17:C22,TRUE,D17:D22,TRUE)</f>
        <v>46300</v>
      </c>
      <c r="O12" s="64">
        <v>17.0</v>
      </c>
      <c r="P12" s="65" t="str">
        <f t="shared" ref="P12:P17" si="3">IF(NOT(O12=""),"h","")</f>
        <v>h</v>
      </c>
      <c r="Q12" s="65" t="str">
        <f t="array" ref="Q12:S17">sort(E17:G22,C17:C22,TRUE,D17:D22,TRUE)</f>
        <v>Physique</v>
      </c>
      <c r="R12" s="65" t="s">
        <v>38</v>
      </c>
      <c r="S12" s="65" t="s">
        <v>39</v>
      </c>
    </row>
    <row r="13">
      <c r="A13" s="16"/>
      <c r="B13" s="16" t="str">
        <f>IF(ISNUMBER($D13),"TP SI :","")</f>
        <v>TP SI :</v>
      </c>
      <c r="C13" s="56">
        <f t="shared" si="1"/>
        <v>46301</v>
      </c>
      <c r="D13" s="16">
        <f>Vlookup($M$6,TPSI,MATCH($D$5,Semaines,0),0)</f>
        <v>8</v>
      </c>
      <c r="E13" s="16"/>
      <c r="F13" s="16"/>
      <c r="G13" s="16"/>
      <c r="H13" s="16" t="s">
        <v>40</v>
      </c>
      <c r="I13" s="56">
        <v>46301.0</v>
      </c>
      <c r="J13" s="16">
        <v>10.0</v>
      </c>
      <c r="K13" s="60" t="str">
        <f t="shared" si="2"/>
        <v>h</v>
      </c>
      <c r="M13" s="16" t="str">
        <f>Vlookup($O$4,CollesA,MATCH($D$5,Semaines,0),0)</f>
        <v/>
      </c>
      <c r="N13" s="67">
        <v>46303.0</v>
      </c>
      <c r="O13" s="68">
        <v>14.0</v>
      </c>
      <c r="P13" s="18" t="str">
        <f t="shared" si="3"/>
        <v>h</v>
      </c>
      <c r="Q13" s="18" t="s">
        <v>41</v>
      </c>
      <c r="R13" s="18" t="s">
        <v>42</v>
      </c>
      <c r="S13" s="18" t="s">
        <v>43</v>
      </c>
    </row>
    <row r="14">
      <c r="A14" s="16"/>
      <c r="B14" s="16" t="str">
        <f>IF(ISNUMBER($D14),"TP Info :","")</f>
        <v>TP Info :</v>
      </c>
      <c r="C14" s="56">
        <f t="shared" si="1"/>
        <v>46301</v>
      </c>
      <c r="D14" s="16">
        <f>Vlookup($M$6,TPInfo,MATCH($D$5,Semaines,0),0)</f>
        <v>17</v>
      </c>
      <c r="E14" s="16"/>
      <c r="F14" s="16"/>
      <c r="G14" s="16"/>
      <c r="H14" s="16" t="s">
        <v>44</v>
      </c>
      <c r="I14" s="56">
        <v>46301.0</v>
      </c>
      <c r="J14" s="16">
        <v>17.0</v>
      </c>
      <c r="K14" s="60" t="str">
        <f t="shared" si="2"/>
        <v>h</v>
      </c>
      <c r="M14" s="16" t="str">
        <f>Vlookup($O$4,CollesS,MATCH($D$5,Semaines,0),0)</f>
        <v/>
      </c>
      <c r="N14" s="16" t="s">
        <v>45</v>
      </c>
      <c r="O14" s="68" t="s">
        <v>45</v>
      </c>
      <c r="P14" s="18" t="str">
        <f t="shared" si="3"/>
        <v/>
      </c>
      <c r="Q14" s="18" t="s">
        <v>45</v>
      </c>
      <c r="R14" s="18" t="s">
        <v>45</v>
      </c>
      <c r="S14" s="18" t="s">
        <v>45</v>
      </c>
    </row>
    <row r="15">
      <c r="A15" s="16"/>
      <c r="B15" s="16" t="str">
        <f>IF(ISNUMBER($D15),"TD Chimie :","")</f>
        <v/>
      </c>
      <c r="C15" s="56" t="str">
        <f>IF(ISNUMBER($D15),$I$5+2,"")</f>
        <v/>
      </c>
      <c r="D15" s="16" t="str">
        <f>Vlookup($M$5,TDChimie,MATCH($D$5,Semaines,0),0)</f>
        <v/>
      </c>
      <c r="E15" s="16"/>
      <c r="F15" s="16"/>
      <c r="G15" s="16"/>
      <c r="H15" s="16" t="s">
        <v>45</v>
      </c>
      <c r="I15" s="56" t="s">
        <v>45</v>
      </c>
      <c r="J15" s="16"/>
      <c r="K15" s="60" t="str">
        <f t="shared" si="2"/>
        <v/>
      </c>
      <c r="M15" s="16">
        <f>Vlookup($O$4,CollesP,MATCH($D$5,Semaines,0),0)</f>
        <v>3</v>
      </c>
      <c r="N15" s="16" t="s">
        <v>45</v>
      </c>
      <c r="O15" s="68" t="s">
        <v>45</v>
      </c>
      <c r="P15" s="18" t="str">
        <f t="shared" si="3"/>
        <v/>
      </c>
      <c r="Q15" s="18" t="s">
        <v>45</v>
      </c>
      <c r="R15" s="18" t="s">
        <v>45</v>
      </c>
      <c r="S15" s="18" t="s">
        <v>45</v>
      </c>
    </row>
    <row r="16">
      <c r="A16" s="16"/>
      <c r="M16" s="16">
        <f>Vlookup($O$4,CollesC,MATCH($D$5,Semaines,0),0)</f>
        <v>3</v>
      </c>
      <c r="N16" s="16" t="s">
        <v>45</v>
      </c>
      <c r="O16" s="68" t="s">
        <v>45</v>
      </c>
      <c r="P16" s="18" t="str">
        <f t="shared" si="3"/>
        <v/>
      </c>
      <c r="Q16" s="18" t="s">
        <v>45</v>
      </c>
      <c r="R16" s="18" t="s">
        <v>45</v>
      </c>
      <c r="S16" s="18" t="s">
        <v>45</v>
      </c>
    </row>
    <row r="17">
      <c r="A17" s="16"/>
      <c r="B17" s="16" t="str">
        <f>Vlookup($O$4,CollesM,MATCH($D$5,Semaines,0),0)</f>
        <v/>
      </c>
      <c r="C17" s="16" t="str">
        <f>IF(ISNUMBER($B17),$I$5+VLOOKUP($B17,CréneauxM,3,0),"")</f>
        <v/>
      </c>
      <c r="D17" s="73" t="str">
        <f>IF(ISNUMBER($B17),VLOOKUP($B17,CréneauxM,4,0),"")</f>
        <v/>
      </c>
      <c r="E17" s="18" t="str">
        <f>IF(ISNUMBER($B17),"Mathématiques","")</f>
        <v/>
      </c>
      <c r="F17" s="18" t="str">
        <f>IF(ISNUMBER($B17),VLOOKUP($B17,CréneauxM,2,0),"")</f>
        <v/>
      </c>
      <c r="G17" s="18" t="str">
        <f>IF(ISNUMBER($B17),VLOOKUP($B17,CréneauxM,5,0),"")</f>
        <v/>
      </c>
      <c r="M17" s="16" t="str">
        <f>Vlookup($O$4,CollesF,MATCH($D$5,Semaines,0),0)</f>
        <v/>
      </c>
      <c r="N17" s="16" t="s">
        <v>45</v>
      </c>
      <c r="O17" s="68" t="s">
        <v>45</v>
      </c>
      <c r="P17" s="18" t="str">
        <f t="shared" si="3"/>
        <v/>
      </c>
      <c r="Q17" s="18" t="s">
        <v>45</v>
      </c>
      <c r="R17" s="18" t="s">
        <v>45</v>
      </c>
      <c r="S17" s="18" t="s">
        <v>45</v>
      </c>
    </row>
    <row r="18">
      <c r="B18" s="16" t="str">
        <f>Vlookup($O$4,CollesA,MATCH($D$5,Semaines,0),0)</f>
        <v/>
      </c>
      <c r="C18" s="16" t="str">
        <f>IF(ISNUMBER($B18),$I$5+VLOOKUP($B18,CréneauxA,3,0),"")</f>
        <v/>
      </c>
      <c r="D18" s="73" t="str">
        <f>IF(ISNUMBER($B18),VLOOKUP($B18,CréneauxA,4,0),"")</f>
        <v/>
      </c>
      <c r="E18" s="18" t="str">
        <f>IF(ISNUMBER($B18),"Anglais","")</f>
        <v/>
      </c>
      <c r="F18" s="18" t="str">
        <f>IF(ISNUMBER($B18),VLOOKUP($B18,CréneauxA,2,0),"")</f>
        <v/>
      </c>
      <c r="G18" s="18" t="str">
        <f>IF(ISNUMBER($B18),VLOOKUP($B18,CréneauxA,5,0),"")</f>
        <v/>
      </c>
    </row>
    <row r="19">
      <c r="B19" s="16" t="str">
        <f>Vlookup($O$4,CollesS,MATCH($D$5,Semaines,0),0)</f>
        <v/>
      </c>
      <c r="C19" s="16" t="str">
        <f>IF(ISNUMBER($B19),$I$5+VLOOKUP($B19,CréneauxS,3,0),"")</f>
        <v/>
      </c>
      <c r="D19" s="73" t="str">
        <f>IF(ISNUMBER($B19),VLOOKUP($B19,CréneauxS,4,0),"")</f>
        <v/>
      </c>
      <c r="E19" s="18" t="str">
        <f>IF(ISNUMBER($B19),"SI","")</f>
        <v/>
      </c>
      <c r="F19" s="18" t="str">
        <f>IF(ISNUMBER($B19),VLOOKUP($B19,CréneauxM,2,0),"")</f>
        <v/>
      </c>
      <c r="G19" s="18" t="str">
        <f>IF(ISNUMBER($B19),VLOOKUP($B19,CréneauxS,5,0),"")</f>
        <v/>
      </c>
    </row>
    <row r="20">
      <c r="B20" s="16">
        <f>Vlookup($O$4,CollesP,MATCH($D$5,Semaines,0),0)</f>
        <v>3</v>
      </c>
      <c r="C20" s="67">
        <f>IF(ISNUMBER($B20),$I$5+VLOOKUP($B20,CréneauxP,3,0),"")</f>
        <v>46300</v>
      </c>
      <c r="D20" s="73">
        <f>IF(ISNUMBER($B20),VLOOKUP($B20,CréneauxP,4,0),"")</f>
        <v>17</v>
      </c>
      <c r="E20" s="18" t="str">
        <f>IF(ISNUMBER($B20),"Physique","")</f>
        <v>Physique</v>
      </c>
      <c r="F20" s="18" t="str">
        <f>IF(ISNUMBER($B20),VLOOKUP($B20,CréneauxP,2,0),"")</f>
        <v>Mme Pampana</v>
      </c>
      <c r="G20" s="18" t="str">
        <f>IF(ISNUMBER($B20),VLOOKUP($B20,CréneauxP,5,0),"")</f>
        <v>Prépa 25</v>
      </c>
    </row>
    <row r="21">
      <c r="B21" s="16">
        <f>Vlookup($O$4,CollesC,MATCH($D$5,Semaines,0),0)</f>
        <v>3</v>
      </c>
      <c r="C21" s="67">
        <f>IF(ISNUMBER($B21),$I$5+VLOOKUP($B21,CréneauxC,3,0),"")</f>
        <v>46303</v>
      </c>
      <c r="D21" s="73">
        <f>IF(ISNUMBER($B21),VLOOKUP($B21,CréneauxC,4,0),"")</f>
        <v>14</v>
      </c>
      <c r="E21" s="18" t="str">
        <f>IF(ISNUMBER($B21),"Chimie","")</f>
        <v>Chimie</v>
      </c>
      <c r="F21" s="18" t="str">
        <f>IF(ISNUMBER($B21),VLOOKUP($B21,CréneauxC,2,0),"")</f>
        <v>M. Roisin</v>
      </c>
      <c r="G21" s="18" t="str">
        <f>IF(ISNUMBER($B21),VLOOKUP($B21,CréneauxC,5,0),"")</f>
        <v>K22</v>
      </c>
    </row>
    <row r="22">
      <c r="B22" s="16" t="str">
        <f>Vlookup($O$4,CollesF,MATCH($D$5,Semaines,0),0)</f>
        <v/>
      </c>
      <c r="C22" s="16" t="str">
        <f>IF(ISNUMBER($B22),$I$5+VLOOKUP($B22,CréneauxF,3,0),"")</f>
        <v/>
      </c>
      <c r="D22" s="73" t="str">
        <f>IF(ISNUMBER($B22),VLOOKUP($B22,CréneauxF,4,0),"")</f>
        <v/>
      </c>
      <c r="E22" s="18" t="str">
        <f>IF(ISNUMBER($B22),"Français","")</f>
        <v/>
      </c>
      <c r="F22" s="18" t="str">
        <f>IF(ISNUMBER($B22),VLOOKUP($B22,CréneauxF,2,0),"")</f>
        <v/>
      </c>
      <c r="G22" s="18" t="str">
        <f>IF(ISNUMBER($B22),VLOOKUP($B22,CréneauxF,5,0),"")</f>
        <v/>
      </c>
    </row>
    <row r="23">
      <c r="D23" s="82"/>
    </row>
  </sheetData>
  <mergeCells count="2">
    <mergeCell ref="I4:L4"/>
    <mergeCell ref="I5:L5"/>
  </mergeCells>
  <conditionalFormatting sqref="H12:K15">
    <cfRule type="notContainsBlanks" dxfId="0" priority="1">
      <formula>LEN(TRIM(H12))&gt;0</formula>
    </cfRule>
  </conditionalFormatting>
  <conditionalFormatting sqref="N12:S14">
    <cfRule type="notContainsBlanks" dxfId="0" priority="2">
      <formula>LEN(TRIM(N12))&gt;0</formula>
    </cfRule>
  </conditionalFormatting>
  <conditionalFormatting sqref="N3:Q6">
    <cfRule type="expression" dxfId="0" priority="3">
      <formula>NOT($N3="")</formula>
    </cfRule>
  </conditionalFormatting>
  <conditionalFormatting sqref="N7:Q8">
    <cfRule type="expression" dxfId="0" priority="4">
      <formula>NOT($N$7="")</formula>
    </cfRule>
  </conditionalFormatting>
  <dataValidations>
    <dataValidation type="list" allowBlank="1" showErrorMessage="1" sqref="I5">
      <formula1>Semaines!$A$2:$A$16</formula1>
    </dataValidation>
    <dataValidation type="list" allowBlank="1" showErrorMessage="1" sqref="I4">
      <formula1>'Trinômes'!$A$2:$A$48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hidden="1" min="2" max="2" width="4.13"/>
    <col customWidth="1" min="3" max="3" width="13.0"/>
    <col customWidth="1" min="4" max="4" width="20.63"/>
    <col customWidth="1" min="5" max="5" width="7.25"/>
    <col customWidth="1" min="6" max="6" width="3.88"/>
    <col customWidth="1" hidden="1" min="7" max="7" width="3.88"/>
    <col customWidth="1" min="8" max="8" width="14.75"/>
    <col customWidth="1" min="9" max="9" width="23.25"/>
    <col customWidth="1" min="10" max="10" width="9.25"/>
    <col customWidth="1" min="11" max="11" width="15.13"/>
    <col customWidth="1" min="12" max="12" width="8.75"/>
  </cols>
  <sheetData>
    <row r="1">
      <c r="G1" s="2"/>
      <c r="H1" s="3"/>
      <c r="I1" s="5"/>
      <c r="J1" s="5"/>
      <c r="K1" s="6"/>
    </row>
    <row r="2">
      <c r="G2" s="2"/>
      <c r="H2" s="9" t="s">
        <v>0</v>
      </c>
      <c r="I2" s="10"/>
      <c r="J2" s="12"/>
      <c r="K2" s="6"/>
    </row>
    <row r="3">
      <c r="G3" s="6"/>
      <c r="H3" s="13" t="s">
        <v>1</v>
      </c>
      <c r="I3" s="14" t="str">
        <f>VLOOKUP($D$5,DatesSemaines,3,0)</f>
        <v>A</v>
      </c>
      <c r="J3" s="17"/>
      <c r="K3" s="6"/>
    </row>
    <row r="4">
      <c r="A4" s="6"/>
      <c r="B4" s="6"/>
      <c r="C4" s="16" t="s">
        <v>2</v>
      </c>
      <c r="D4" s="18" t="s">
        <v>5</v>
      </c>
      <c r="G4" s="6"/>
      <c r="H4" s="19" t="s">
        <v>4</v>
      </c>
      <c r="I4" s="18">
        <f>VLOOKUP($D$4,Étudiants,2,0)</f>
        <v>15</v>
      </c>
      <c r="J4" s="23"/>
      <c r="K4" s="6"/>
    </row>
    <row r="5">
      <c r="A5" s="16"/>
      <c r="B5" s="16">
        <f>VLOOKUP($D$5,DatesSemaines,2,0)</f>
        <v>6</v>
      </c>
      <c r="C5" s="16" t="s">
        <v>7</v>
      </c>
      <c r="D5" s="24">
        <v>46300.0</v>
      </c>
      <c r="G5" s="16">
        <f>VLOOKUP($I$4,Groupes,2,0)</f>
        <v>2</v>
      </c>
      <c r="H5" s="19" t="s">
        <v>8</v>
      </c>
      <c r="I5" s="25" t="s">
        <v>9</v>
      </c>
      <c r="J5" s="23"/>
      <c r="K5" s="6"/>
    </row>
    <row r="6">
      <c r="A6" s="2"/>
      <c r="G6" s="16">
        <f>VLOOKUP($I$4,Groupes,3,0)</f>
        <v>3</v>
      </c>
      <c r="H6" s="19" t="s">
        <v>10</v>
      </c>
      <c r="I6" s="25" t="s">
        <v>11</v>
      </c>
      <c r="J6" s="23"/>
      <c r="K6" s="6"/>
    </row>
    <row r="7">
      <c r="A7" s="6"/>
      <c r="G7" s="6"/>
      <c r="H7" s="30" t="str">
        <f>IF(ISTEXT($I$7),"LV2 :","")</f>
        <v>LV2 :</v>
      </c>
      <c r="I7" s="33" t="str">
        <f>VLOOKUP($D$4,Étudiants,column('Trinômes'!$D$1)-column('Trinômes'!$A$1)+1,0)</f>
        <v>Espagnol</v>
      </c>
      <c r="J7" s="23"/>
      <c r="K7" s="6"/>
    </row>
    <row r="8">
      <c r="A8" s="16"/>
      <c r="G8" s="6"/>
      <c r="H8" s="34"/>
      <c r="I8" s="35">
        <f>IF(ISTEXT($I$7),$D$5+Vlookup($I$7,LV2Jours,2,0),"")</f>
        <v>46303</v>
      </c>
      <c r="J8" s="36" t="str">
        <f>IF(ISTEXT($I$7),"17h","")</f>
        <v>17h</v>
      </c>
      <c r="K8" s="6"/>
    </row>
    <row r="9">
      <c r="A9" s="6"/>
      <c r="G9" s="2"/>
    </row>
    <row r="10">
      <c r="A10" s="6"/>
      <c r="B10" s="2"/>
      <c r="C10" s="39" t="s">
        <v>16</v>
      </c>
      <c r="D10" s="42"/>
      <c r="E10" s="44"/>
      <c r="G10" s="2"/>
      <c r="H10" s="9" t="s">
        <v>19</v>
      </c>
      <c r="I10" s="10"/>
      <c r="J10" s="10"/>
      <c r="K10" s="47"/>
      <c r="L10" s="49"/>
    </row>
    <row r="11">
      <c r="A11" s="2"/>
      <c r="B11" s="16"/>
      <c r="C11" s="13" t="s">
        <v>23</v>
      </c>
      <c r="D11" s="11" t="s">
        <v>24</v>
      </c>
      <c r="E11" s="52" t="s">
        <v>25</v>
      </c>
      <c r="G11" s="2"/>
      <c r="H11" s="9" t="s">
        <v>23</v>
      </c>
      <c r="I11" s="10" t="s">
        <v>24</v>
      </c>
      <c r="J11" s="10" t="s">
        <v>25</v>
      </c>
      <c r="K11" s="53" t="s">
        <v>27</v>
      </c>
      <c r="L11" s="55" t="s">
        <v>28</v>
      </c>
    </row>
    <row r="12">
      <c r="A12" s="2"/>
      <c r="B12" s="16">
        <f>Vlookup($G$5,TPPhysique,MATCH($B$5,Semaines,0),0)</f>
        <v>8</v>
      </c>
      <c r="C12" s="13" t="str">
        <f>IF(ISNUMBER($B12),"TP Physique :","")</f>
        <v>TP Physique :</v>
      </c>
      <c r="D12" s="57">
        <f t="shared" ref="D12:D14" si="1">IF(ISNUMBER($B12),$D$5+1,"")</f>
        <v>46301</v>
      </c>
      <c r="E12" s="52" t="str">
        <f t="shared" ref="E12:E15" si="2">IF(ISNUMBER($B12),$B12&amp;"h","")</f>
        <v>8h</v>
      </c>
      <c r="G12" s="16">
        <f>Vlookup($I$4,CollesM,MATCH($B$5,Semaines,0),0)</f>
        <v>6</v>
      </c>
      <c r="H12" s="13" t="str">
        <f>IF(ISNUMBER($G12),"Mathématiques :","")</f>
        <v>Mathématiques :</v>
      </c>
      <c r="I12" s="66">
        <f>IF(ISNUMBER($G12),$D$5+Vlookup($G12,CréneauxM,3,0),"")</f>
        <v>46303</v>
      </c>
      <c r="J12" s="65" t="str">
        <f>IF(ISNUMBER($G12),Vlookup($G12,CréneauxM,4,0)&amp;"h","")</f>
        <v>13h</v>
      </c>
      <c r="K12" s="65" t="str">
        <f>IF(ISNUMBER($G12),Vlookup($G12,CréneauxM,2,0),"")</f>
        <v>Mme Peyrelevade</v>
      </c>
      <c r="L12" s="52" t="str">
        <f>IF(ISNUMBER($G12),VLOOKUP($G12,CréneauxM,5,0),"")</f>
        <v>K22</v>
      </c>
    </row>
    <row r="13">
      <c r="A13" s="16"/>
      <c r="B13" s="16">
        <f>Vlookup($G$6,TPSI,MATCH($B$5,Semaines,0),0)</f>
        <v>10</v>
      </c>
      <c r="C13" s="19" t="str">
        <f>IF(ISNUMBER($B13),"TP SI :","")</f>
        <v>TP SI :</v>
      </c>
      <c r="D13" s="56">
        <f t="shared" si="1"/>
        <v>46301</v>
      </c>
      <c r="E13" s="69" t="str">
        <f t="shared" si="2"/>
        <v>10h</v>
      </c>
      <c r="G13" s="16">
        <f>Vlookup($I$4,CollesA,MATCH($B$5,Semaines,0),0)</f>
        <v>1</v>
      </c>
      <c r="H13" s="19" t="str">
        <f>IF(ISNUMBER($G13),"Anglais :","")</f>
        <v>Anglais :</v>
      </c>
      <c r="I13" s="71">
        <f>IF(ISNUMBER($G13),$D$5+Vlookup($G13,CréneauxA,3,0),"")</f>
        <v>46300</v>
      </c>
      <c r="J13" s="18" t="str">
        <f>IF(ISNUMBER($G13),Vlookup($G13,CréneauxA,4,0)&amp;"h","")</f>
        <v>16h</v>
      </c>
      <c r="K13" s="18" t="str">
        <f>IF(ISNUMBER($G13),Vlookup($G13,CréneauxA,2,0),"")</f>
        <v>Mme Calvin</v>
      </c>
      <c r="L13" s="69" t="str">
        <f>IF(ISNUMBER($G13),VLOOKUP($G13,CréneauxM,5,0),"")</f>
        <v>Prépa 35</v>
      </c>
    </row>
    <row r="14">
      <c r="A14" s="16"/>
      <c r="B14" s="16" t="str">
        <f>Vlookup($G$6,TPInfo,MATCH($B$5,Semaines,0),0)</f>
        <v/>
      </c>
      <c r="C14" s="19" t="str">
        <f>IF(ISNUMBER($B14),"TP Info :","")</f>
        <v/>
      </c>
      <c r="D14" s="56" t="str">
        <f t="shared" si="1"/>
        <v/>
      </c>
      <c r="E14" s="69" t="str">
        <f t="shared" si="2"/>
        <v/>
      </c>
      <c r="G14" s="16" t="str">
        <f>Vlookup($I$4,CollesS,MATCH($B$5,Semaines,0),0)</f>
        <v/>
      </c>
      <c r="H14" s="19" t="str">
        <f>IF(ISNUMBER($G14),"SI :","")</f>
        <v/>
      </c>
      <c r="I14" s="71" t="str">
        <f>IF(ISNUMBER($G14),$D$5+Vlookup($G14,CréneauxS,3,0),"")</f>
        <v/>
      </c>
      <c r="J14" s="18" t="str">
        <f>IF(ISNUMBER($G14),Vlookup($G14,CréneauxS,4,0)&amp;"h","")</f>
        <v/>
      </c>
      <c r="K14" s="18" t="str">
        <f>IF(ISNUMBER($G14),Vlookup($G14,CréneauxS,2,0),"")</f>
        <v/>
      </c>
      <c r="L14" s="69" t="str">
        <f>IF(ISNUMBER($G14),VLOOKUP($G14,CréneauxM,5,0),"")</f>
        <v/>
      </c>
    </row>
    <row r="15">
      <c r="A15" s="16"/>
      <c r="B15" s="16">
        <f>Vlookup($G$5,TDChimie,MATCH($B$5,Semaines,0),0)</f>
        <v>15</v>
      </c>
      <c r="C15" s="76" t="str">
        <f>IF(ISNUMBER($B15),"TD Chimie :","")</f>
        <v>TD Chimie :</v>
      </c>
      <c r="D15" s="77">
        <f>IF(ISNUMBER($B15),$D$5+2,"")</f>
        <v>46302</v>
      </c>
      <c r="E15" s="78" t="str">
        <f t="shared" si="2"/>
        <v>15h</v>
      </c>
      <c r="G15" s="16" t="str">
        <f>Vlookup($I$4,CollesP,MATCH($B$5,Semaines,0),0)</f>
        <v/>
      </c>
      <c r="H15" s="19" t="str">
        <f>IF(ISNUMBER($G15),"Physique :","")</f>
        <v/>
      </c>
      <c r="I15" s="71" t="str">
        <f>IF(ISNUMBER($G15),$D$5+Vlookup($G15,CréneauxP,3,0),"")</f>
        <v/>
      </c>
      <c r="J15" s="18" t="str">
        <f>IF(ISNUMBER($G15),Vlookup($G15,CréneauxP,4,0)&amp;"h","")</f>
        <v/>
      </c>
      <c r="K15" s="18" t="str">
        <f>IF(ISNUMBER($G15),Vlookup($G15,CréneauxP,2,0),"")</f>
        <v/>
      </c>
      <c r="L15" s="69" t="str">
        <f>IF(ISNUMBER($G15),VLOOKUP($G15,CréneauxM,5,0),"")</f>
        <v/>
      </c>
    </row>
    <row r="16">
      <c r="A16" s="16"/>
      <c r="G16" s="16" t="str">
        <f>Vlookup($I$4,CollesC,MATCH($B$5,Semaines,0),0)</f>
        <v/>
      </c>
      <c r="H16" s="19" t="str">
        <f>IF(ISNUMBER($G16),"Chimie :","")</f>
        <v/>
      </c>
      <c r="I16" s="71" t="str">
        <f>IF(ISNUMBER($G16),$D$5+Vlookup($G16,CréneauxC,3,0),"")</f>
        <v/>
      </c>
      <c r="J16" s="18" t="str">
        <f>IF(ISNUMBER($G16),Vlookup($G16,CréneauxC,4,0)&amp;"h","")</f>
        <v/>
      </c>
      <c r="K16" s="18" t="str">
        <f>IF(ISNUMBER($G16),Vlookup($G16,CréneauxC,2,0),"")</f>
        <v/>
      </c>
      <c r="L16" s="69" t="str">
        <f>IF(ISNUMBER($G16),VLOOKUP($G16,CréneauxM,5,0),"")</f>
        <v/>
      </c>
    </row>
    <row r="17">
      <c r="A17" s="16"/>
      <c r="G17" s="16" t="str">
        <f>Vlookup($I$4,CollesF,MATCH($B$5,Semaines,0),0)</f>
        <v/>
      </c>
      <c r="H17" s="76" t="str">
        <f>IF(ISNUMBER($G17),"Français :","")</f>
        <v/>
      </c>
      <c r="I17" s="79" t="str">
        <f>IF(ISNUMBER($G17),$D$5+Vlookup($G17,CréneauxF,3,0),"")</f>
        <v/>
      </c>
      <c r="J17" s="80" t="str">
        <f>IF(ISNUMBER($G17),Vlookup($G17,CréneauxF,4,0)&amp;"h","")</f>
        <v/>
      </c>
      <c r="K17" s="80" t="str">
        <f>IF(ISNUMBER($G17),Vlookup($G17,CréneauxF,2,0),"")</f>
        <v/>
      </c>
      <c r="L17" s="78" t="str">
        <f>IF(ISNUMBER($G17),VLOOKUP($G17,CréneauxM,5,0),"")</f>
        <v/>
      </c>
    </row>
  </sheetData>
  <mergeCells count="2">
    <mergeCell ref="D4:F4"/>
    <mergeCell ref="D5:F5"/>
  </mergeCells>
  <dataValidations>
    <dataValidation type="list" allowBlank="1" showErrorMessage="1" sqref="D5">
      <formula1>Semaines!$A$2:$A$16</formula1>
    </dataValidation>
    <dataValidation type="list" allowBlank="1" showErrorMessage="1" sqref="D4">
      <formula1>'Trinômes'!$A$2:$A$48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0.13"/>
    <col customWidth="1" min="3" max="3" width="5.88"/>
    <col customWidth="1" min="4" max="4" width="9.0"/>
    <col customWidth="1" min="5" max="5" width="8.0"/>
    <col customWidth="1" min="6" max="6" width="3.38"/>
    <col customWidth="1" min="7" max="7" width="2.25"/>
    <col customWidth="1" min="8" max="8" width="28.38"/>
    <col customWidth="1" min="9" max="9" width="29.88"/>
    <col customWidth="1" min="10" max="10" width="29.38"/>
    <col customWidth="1" min="11" max="11" width="9.25"/>
    <col customWidth="1" min="12" max="12" width="15.13"/>
    <col customWidth="1" min="13" max="13" width="8.75"/>
  </cols>
  <sheetData>
    <row r="1">
      <c r="A1" s="6"/>
      <c r="B1" s="16" t="s">
        <v>17</v>
      </c>
      <c r="C1" s="18" t="s">
        <v>26</v>
      </c>
      <c r="H1" s="18"/>
      <c r="I1" s="16"/>
      <c r="J1" s="18"/>
      <c r="K1" s="6"/>
      <c r="L1" s="6"/>
    </row>
    <row r="2">
      <c r="B2" s="51" t="s">
        <v>29</v>
      </c>
      <c r="C2" s="4" t="s">
        <v>33</v>
      </c>
      <c r="I2" s="16"/>
      <c r="J2" s="25"/>
      <c r="K2" s="6"/>
      <c r="L2" s="6"/>
    </row>
    <row r="3">
      <c r="A3" s="16">
        <f>VLOOKUP($C$3,DatesSemaines,2,0)</f>
        <v>7</v>
      </c>
      <c r="B3" s="16" t="s">
        <v>7</v>
      </c>
      <c r="C3" s="24">
        <v>46307.0</v>
      </c>
      <c r="H3" s="24"/>
      <c r="I3" s="16"/>
      <c r="J3" s="25"/>
      <c r="K3" s="6"/>
      <c r="L3" s="6"/>
    </row>
    <row r="4">
      <c r="G4" s="6"/>
      <c r="H4" s="6"/>
      <c r="I4" s="29"/>
      <c r="K4" s="6"/>
      <c r="L4" s="6"/>
    </row>
    <row r="5">
      <c r="B5" s="58" t="s">
        <v>24</v>
      </c>
      <c r="C5" s="59" t="s">
        <v>34</v>
      </c>
      <c r="D5" s="10" t="s">
        <v>35</v>
      </c>
      <c r="E5" s="59" t="s">
        <v>36</v>
      </c>
      <c r="F5" s="61"/>
      <c r="G5" s="61"/>
      <c r="H5" s="59" t="s">
        <v>37</v>
      </c>
      <c r="I5" s="61"/>
      <c r="J5" s="62"/>
      <c r="K5" s="6"/>
      <c r="L5" s="29"/>
      <c r="N5" s="6"/>
      <c r="O5" s="6"/>
    </row>
    <row r="6">
      <c r="A6" s="60">
        <f>switch($C$1,'Créneaux'!$I$2,'Créneaux'!D2,'Créneaux'!$I$10,'Créneaux'!D10,'Créneaux'!$I$18,'Créneaux'!D18,'Créneaux'!$I$26,'Créneaux'!D26,'Créneaux'!$I$34,'Créneaux'!D34,'Créneaux'!$I$38,'Créneaux'!D38)</f>
        <v>1</v>
      </c>
      <c r="B6" s="70">
        <f>IF(ISNUMBER($F6),switch($C$1,"Mathématiques",$C$3+Vlookup($A6,'Créneaux'!$J$2:$N$9,column('Créneaux'!L$1)-column('Créneaux'!$J$1)+1,0),"Anglais",$C$3+Vlookup($A6,'Créneaux'!$J$10:$N$17,column('Créneaux'!L$1)-column('Créneaux'!$J$1)+1,0),"Physique",$C$3+Vlookup($A6,'Créneaux'!$J$18:$N$25,column('Créneaux'!L$1)-column('Créneaux'!$J$1)+1,0),"Chimie",$C$3+Vlookup($A6,'Créneaux'!$J$26:$N$33,column('Créneaux'!L$1)-column('Créneaux'!$J$1)+1,0),"SI",$C$3+Vlookup($A6,'Créneaux'!$J$34:$N$37,column('Créneaux'!L$1)-column('Créneaux'!$J$1)+1,0),"Français",$C$3+Vlookup($A6,'Créneaux'!$J$38:$N$39,column('Créneaux'!L$1)-column('Créneaux'!$J$1)+1,0)),"")</f>
        <v>46309</v>
      </c>
      <c r="C6" s="72" t="str">
        <f>IF(ISNUMBER($F6),switch($C$1,"Mathématiques",Vlookup($A6,'Créneaux'!$J$2:$N$9,column('Créneaux'!M$1)-column('Créneaux'!$J$1)+1,0)&amp;"h","Anglais",Vlookup($A6,'Créneaux'!$J$10:$N$17,column('Créneaux'!M$1)-column('Créneaux'!$J$1)+1,0)&amp;"h","Physique",Vlookup($A6,'Créneaux'!$J$18:$N$25,column('Créneaux'!M$1)-column('Créneaux'!$J$1)+1,0)&amp;"h","Chimie",Vlookup($A6,'Créneaux'!$J$26:$N$33,column('Créneaux'!M$1)-column('Créneaux'!$J$1)+1,0)&amp;"h","SI",Vlookup($A6,'Créneaux'!$J$34:$N$37,column('Créneaux'!M$1)-column('Créneaux'!$J$1)+1,0)&amp;"h","Français",Vlookup($A6,'Créneaux'!$J$38:$N$39,column('Créneaux'!M$1)-column('Créneaux'!$J$1)+1,0)&amp;"h"),"")</f>
        <v>15h</v>
      </c>
      <c r="D6" s="74" t="str">
        <f>IF(ISNUMBER($F6),switch($C$1,"Mathématiques",Vlookup($A6,'Créneaux'!$J$2:$N$9,column('Créneaux'!N$1)-column('Créneaux'!$J$1)+1,0),"Anglais",Vlookup($A6,'Créneaux'!$J$10:$N$17,column('Créneaux'!N$1)-column('Créneaux'!$J$1)+1,0),"Physique",Vlookup($A6,'Créneaux'!$J$18:$N$25,column('Créneaux'!N$1)-column('Créneaux'!$J$1)+1,0),"Chimie",Vlookup($A6,'Créneaux'!$J$26:$N$33,column('Créneaux'!N$1)-column('Créneaux'!$J$1)+1,0),"SI",Vlookup($A6,'Créneaux'!$J$34:$N$37,column('Créneaux'!N$1)-column('Créneaux'!$J$1)+1,0),"Français",Vlookup($A6,'Créneaux'!$J$38:$N$39,column('Créneaux'!N$1)-column('Créneaux'!$J$1)+1,0)),"")</f>
        <v>Prépa 35</v>
      </c>
      <c r="E6" s="75" t="str">
        <f t="shared" ref="E6:E13" si="1">if(isnumber($F6),"Trinôme ","")</f>
        <v>Trinôme </v>
      </c>
      <c r="F6" s="75">
        <f>IF(ISNUMBER($A6),switch($C$1,"Mathématiques",Vlookup($A6,Colloscope!$B$19:$W$26,match($A$3,Colloscope!$B$1:$W$1),0),"Anglais",Vlookup($A6,Colloscope!$B$28:$W$35,match($A$3,Colloscope!$B$1:$W$1),0),"Physique",Vlookup($A6,Colloscope!$B$42:$W$49,match($A$3,Colloscope!$B$1:$W$1),0),"Chimie",Vlookup($A6,Colloscope!$B$51:$W$58,match($A$3,Colloscope!$B$1:$W$1),0),"SI",Vlookup($A6,Colloscope!$B$37:$W$40,match($A$3,Colloscope!$B$1:$W$1),0),"Français",Vlookup($A6,Colloscope!$B$60:$W$61,match($A$3,Colloscope!$B$1:$W$1),0)),"")</f>
        <v>12</v>
      </c>
      <c r="G6" s="75" t="str">
        <f t="shared" ref="G6:G13" si="2">if(isnumber($F6),":","")</f>
        <v>:</v>
      </c>
      <c r="H6" s="75" t="str">
        <f t="array" ref="H6">if(ISNUMBER($F6),indirect("Trinômes!"&amp;address(sumproduct('Trinômes'!$B$2:$B$48=$F6,'Trinômes'!$C$2:$C$48=column(H$6)-COLUMN($H$6)+1,ROW('Trinômes'!$A$2:$A$48)-row('Trinômes'!$A$2)+1)+1,column('Trinômes'!$A$1))),"")</f>
        <v>POURCHIER Manon</v>
      </c>
      <c r="I6" s="75" t="str">
        <f t="array" ref="I6">if(ISNUMBER($F6),indirect("Trinômes!"&amp;address(sumproduct('Trinômes'!$B$2:$B$48=$F6,'Trinômes'!$C$2:$C$48=column(I$6)-COLUMN($H$6)+1,ROW('Trinômes'!$A$2:$A$48)-row('Trinômes'!$A$2)+1)+1,column('Trinômes'!$A$1))),"")</f>
        <v>RAITORE Maya</v>
      </c>
      <c r="J6" s="81" t="str">
        <f t="array" ref="J6">if(ISNUMBER($F6),indirect("Trinômes!"&amp;address(sumproduct('Trinômes'!$B$2:$B$48=$F6,'Trinômes'!$C$2:$C$48=column(J$6)-COLUMN($H$6)+1,ROW('Trinômes'!$A$2:$A$48)-row('Trinômes'!$A$2)+1)+1,column('Trinômes'!$A$1))),"")</f>
        <v>RAKOTOARIVELO Yann</v>
      </c>
      <c r="K6" s="6"/>
      <c r="L6" s="29"/>
      <c r="N6" s="6"/>
      <c r="O6" s="6"/>
    </row>
    <row r="7">
      <c r="A7" s="60">
        <f>switch($C$1,'Créneaux'!$I$2,'Créneaux'!D3,'Créneaux'!$I$10,'Créneaux'!D11,'Créneaux'!$I$18,'Créneaux'!D19,'Créneaux'!$I$26,'Créneaux'!D27,'Créneaux'!$I$34,'Créneaux'!D35,'Créneaux'!$I$38,'Créneaux'!D39)</f>
        <v>2</v>
      </c>
      <c r="B7" s="83">
        <f>IF(ISNUMBER($F7),switch($C$1,"Mathématiques",$C$3+Vlookup($A7,'Créneaux'!$J$2:$N$9,column('Créneaux'!L$1)-column('Créneaux'!$J$1)+1,0),"Anglais",$C$3+Vlookup($A7,'Créneaux'!$J$10:$N$17,column('Créneaux'!L$1)-column('Créneaux'!$J$1)+1,0),"Physique",$C$3+Vlookup($A7,'Créneaux'!$J$18:$N$25,column('Créneaux'!L$1)-column('Créneaux'!$J$1)+1,0),"Chimie",$C$3+Vlookup($A7,'Créneaux'!$J$26:$N$33,column('Créneaux'!L$1)-column('Créneaux'!$J$1)+1,0),"SI",$C$3+Vlookup($A7,'Créneaux'!$J$34:$N$37,column('Créneaux'!L$1)-column('Créneaux'!$J$1)+1,0),"Français",$C$3+Vlookup($A7,'Créneaux'!$J$38:$N$39,column('Créneaux'!L$1)-column('Créneaux'!$J$1)+1,0)),"")</f>
        <v>46309</v>
      </c>
      <c r="C7" s="84" t="str">
        <f>IF(ISNUMBER($F7),switch($C$1,"Mathématiques",Vlookup($A7,'Créneaux'!$J$2:$N$9,column('Créneaux'!M$1)-column('Créneaux'!$J$1)+1,0)&amp;"h","Anglais",Vlookup($A7,'Créneaux'!$J$10:$N$17,column('Créneaux'!M$1)-column('Créneaux'!$J$1)+1,0)&amp;"h","Physique",Vlookup($A7,'Créneaux'!$J$18:$N$25,column('Créneaux'!M$1)-column('Créneaux'!$J$1)+1,0)&amp;"h","Chimie",Vlookup($A7,'Créneaux'!$J$26:$N$33,column('Créneaux'!M$1)-column('Créneaux'!$J$1)+1,0)&amp;"h","SI",Vlookup($A7,'Créneaux'!$J$34:$N$37,column('Créneaux'!M$1)-column('Créneaux'!$J$1)+1,0)&amp;"h","Français",Vlookup($A7,'Créneaux'!$J$38:$N$39,column('Créneaux'!M$1)-column('Créneaux'!$J$1)+1,0)&amp;"h"),"")</f>
        <v>16h</v>
      </c>
      <c r="D7" s="85" t="str">
        <f>IF(ISNUMBER($F7),switch($C$1,"Mathématiques",Vlookup($A7,'Créneaux'!$J$2:$N$9,column('Créneaux'!N$1)-column('Créneaux'!$J$1)+1,0),"Anglais",Vlookup($A7,'Créneaux'!$J$10:$N$17,column('Créneaux'!N$1)-column('Créneaux'!$J$1)+1,0),"Physique",Vlookup($A7,'Créneaux'!$J$18:$N$25,column('Créneaux'!N$1)-column('Créneaux'!$J$1)+1,0),"Chimie",Vlookup($A7,'Créneaux'!$J$26:$N$33,column('Créneaux'!N$1)-column('Créneaux'!$J$1)+1,0),"SI",Vlookup($A7,'Créneaux'!$J$34:$N$37,column('Créneaux'!N$1)-column('Créneaux'!$J$1)+1,0),"Français",Vlookup($A7,'Créneaux'!$J$38:$N$39,column('Créneaux'!N$1)-column('Créneaux'!$J$1)+1,0)),"")</f>
        <v>Prépa 35</v>
      </c>
      <c r="E7" s="60" t="str">
        <f t="shared" si="1"/>
        <v>Trinôme </v>
      </c>
      <c r="F7" s="60">
        <f>IF(ISNUMBER($A7),switch($C$1,"Mathématiques",Vlookup($A7,Colloscope!$B$19:$W$26,match($A$3,Colloscope!$B$1:$W$1),0),"Anglais",Vlookup($A7,Colloscope!$B$28:$W$35,match($A$3,Colloscope!$B$1:$W$1),0),"Physique",Vlookup($A7,Colloscope!$B$42:$W$49,match($A$3,Colloscope!$B$1:$W$1),0),"Chimie",Vlookup($A7,Colloscope!$B$51:$W$58,match($A$3,Colloscope!$B$1:$W$1),0),"SI",Vlookup($A7,Colloscope!$B$37:$W$40,match($A$3,Colloscope!$B$1:$W$1),0),"Français",Vlookup($A7,Colloscope!$B$60:$W$61,match($A$3,Colloscope!$B$1:$W$1),0)),"")</f>
        <v>6</v>
      </c>
      <c r="G7" s="60" t="str">
        <f t="shared" si="2"/>
        <v>:</v>
      </c>
      <c r="H7" s="60" t="str">
        <f t="array" ref="H7">if(ISNUMBER($F7),indirect("Trinômes!"&amp;address(sumproduct('Trinômes'!$B$2:$B$48=$F7,'Trinômes'!$C$2:$C$48=column(H$6)-COLUMN($H$6)+1,ROW('Trinômes'!$A$2:$A$48)-row('Trinômes'!$A$2)+1)+1,column('Trinômes'!$A$1))),"")</f>
        <v>DESCOLLONGES Eric</v>
      </c>
      <c r="I7" s="60" t="str">
        <f t="array" ref="I7">if(ISNUMBER($F7),indirect("Trinômes!"&amp;address(sumproduct('Trinômes'!$B$2:$B$48=$F7,'Trinômes'!$C$2:$C$48=column(I$6)-COLUMN($H$6)+1,ROW('Trinômes'!$A$2:$A$48)-row('Trinômes'!$A$2)+1)+1,column('Trinômes'!$A$1))),"")</f>
        <v>DESPRES Jeanne</v>
      </c>
      <c r="J7" s="95" t="str">
        <f t="array" ref="J7">if(ISNUMBER($F7),indirect("Trinômes!"&amp;address(sumproduct('Trinômes'!$B$2:$B$48=$F7,'Trinômes'!$C$2:$C$48=column(J$6)-COLUMN($H$6)+1,ROW('Trinômes'!$A$2:$A$48)-row('Trinômes'!$A$2)+1)+1,column('Trinômes'!$A$1))),"")</f>
        <v>DORLEANS Louis</v>
      </c>
      <c r="K7" s="2"/>
    </row>
    <row r="8">
      <c r="A8" s="60" t="str">
        <f>switch($C$1,'Créneaux'!$I$2,'Créneaux'!D4,'Créneaux'!$I$10,'Créneaux'!D12,'Créneaux'!$I$18,'Créneaux'!D20,'Créneaux'!$I$26,'Créneaux'!D28,'Créneaux'!$I$34,'Créneaux'!D36,'Créneaux'!$I$38,'Créneaux'!D40)</f>
        <v/>
      </c>
      <c r="B8" s="83" t="str">
        <f>IF(ISNUMBER($F8),switch($C$1,"Mathématiques",$C$3+Vlookup($A8,'Créneaux'!$J$2:$N$9,column('Créneaux'!L$1)-column('Créneaux'!$J$1)+1,0),"Anglais",$C$3+Vlookup($A8,'Créneaux'!$J$10:$N$17,column('Créneaux'!L$1)-column('Créneaux'!$J$1)+1,0),"Physique",$C$3+Vlookup($A8,'Créneaux'!$J$18:$N$25,column('Créneaux'!L$1)-column('Créneaux'!$J$1)+1,0),"Chimie",$C$3+Vlookup($A8,'Créneaux'!$J$26:$N$33,column('Créneaux'!L$1)-column('Créneaux'!$J$1)+1,0),"SI",$C$3+Vlookup($A8,'Créneaux'!$J$34:$N$37,column('Créneaux'!L$1)-column('Créneaux'!$J$1)+1,0),"Français",$C$3+Vlookup($A8,'Créneaux'!$J$38:$N$39,column('Créneaux'!L$1)-column('Créneaux'!$J$1)+1,0)),"")</f>
        <v/>
      </c>
      <c r="C8" s="84" t="str">
        <f>IF(ISNUMBER($F8),switch($C$1,"Mathématiques",Vlookup($A8,'Créneaux'!$J$2:$N$9,column('Créneaux'!M$1)-column('Créneaux'!$J$1)+1,0)&amp;"h","Anglais",Vlookup($A8,'Créneaux'!$J$10:$N$17,column('Créneaux'!M$1)-column('Créneaux'!$J$1)+1,0)&amp;"h","Physique",Vlookup($A8,'Créneaux'!$J$18:$N$25,column('Créneaux'!M$1)-column('Créneaux'!$J$1)+1,0)&amp;"h","Chimie",Vlookup($A8,'Créneaux'!$J$26:$N$33,column('Créneaux'!M$1)-column('Créneaux'!$J$1)+1,0)&amp;"h","SI",Vlookup($A8,'Créneaux'!$J$34:$N$37,column('Créneaux'!M$1)-column('Créneaux'!$J$1)+1,0)&amp;"h","Français",Vlookup($A8,'Créneaux'!$J$38:$N$39,column('Créneaux'!M$1)-column('Créneaux'!$J$1)+1,0)&amp;"h"),"")</f>
        <v/>
      </c>
      <c r="D8" s="85" t="str">
        <f>IF(ISNUMBER($F8),switch($C$1,"Mathématiques",Vlookup($A8,'Créneaux'!$J$2:$N$9,column('Créneaux'!N$1)-column('Créneaux'!$J$1)+1,0),"Anglais",Vlookup($A8,'Créneaux'!$J$10:$N$17,column('Créneaux'!N$1)-column('Créneaux'!$J$1)+1,0),"Physique",Vlookup($A8,'Créneaux'!$J$18:$N$25,column('Créneaux'!N$1)-column('Créneaux'!$J$1)+1,0),"Chimie",Vlookup($A8,'Créneaux'!$J$26:$N$33,column('Créneaux'!N$1)-column('Créneaux'!$J$1)+1,0),"SI",Vlookup($A8,'Créneaux'!$J$34:$N$37,column('Créneaux'!N$1)-column('Créneaux'!$J$1)+1,0),"Français",Vlookup($A8,'Créneaux'!$J$38:$N$39,column('Créneaux'!N$1)-column('Créneaux'!$J$1)+1,0)),"")</f>
        <v/>
      </c>
      <c r="E8" s="97" t="str">
        <f t="shared" si="1"/>
        <v/>
      </c>
      <c r="F8" s="6" t="str">
        <f>IF(ISNUMBER($A8),switch($C$1,"Mathématiques",Vlookup($A8,Colloscope!$B$19:$W$26,match($A$3,Colloscope!$B$1:$W$1),0),"Anglais",Vlookup($A8,Colloscope!$B$28:$W$35,match($A$3,Colloscope!$B$1:$W$1),0),"Physique",Vlookup($A8,Colloscope!$B$42:$W$49,match($A$3,Colloscope!$B$1:$W$1),0),"Chimie",Vlookup($A8,Colloscope!$B$51:$W$58,match($A$3,Colloscope!$B$1:$W$1),0),"SI",Vlookup($A8,Colloscope!$B$37:$W$40,match($A$3,Colloscope!$B$1:$W$1),0),"Français",Vlookup($A8,Colloscope!$B$60:$W$61,match($A$3,Colloscope!$B$1:$W$1),0)),"")</f>
        <v/>
      </c>
      <c r="G8" s="60" t="str">
        <f t="shared" si="2"/>
        <v/>
      </c>
      <c r="H8" s="60" t="str">
        <f t="array" ref="H8">if(ISNUMBER($F8),indirect("Trinômes!"&amp;address(sumproduct('Trinômes'!$B$2:$B$48=$F8,'Trinômes'!$C$2:$C$48=column(H$6)-COLUMN($H$6)+1,ROW('Trinômes'!$A$2:$A$48)-row('Trinômes'!$A$2)+1)+1,column('Trinômes'!$A$1))),"")</f>
        <v/>
      </c>
      <c r="I8" s="60" t="str">
        <f t="array" ref="I8">if(ISNUMBER($F8),indirect("Trinômes!"&amp;address(sumproduct('Trinômes'!$B$2:$B$48=$F8,'Trinômes'!$C$2:$C$48=column(I$6)-COLUMN($H$6)+1,ROW('Trinômes'!$A$2:$A$48)-row('Trinômes'!$A$2)+1)+1,column('Trinômes'!$A$1))),"")</f>
        <v/>
      </c>
      <c r="J8" s="95" t="str">
        <f t="array" ref="J8">if(ISNUMBER($F8),indirect("Trinômes!"&amp;address(sumproduct('Trinômes'!$B$2:$B$48=$F8,'Trinômes'!$C$2:$C$48=column(J$6)-COLUMN($H$6)+1,ROW('Trinômes'!$A$2:$A$48)-row('Trinômes'!$A$2)+1)+1,column('Trinômes'!$A$1))),"")</f>
        <v/>
      </c>
      <c r="K8" s="2"/>
      <c r="L8" s="3"/>
      <c r="M8" s="5"/>
      <c r="N8" s="5"/>
      <c r="O8" s="99"/>
    </row>
    <row r="9">
      <c r="A9" s="60" t="str">
        <f>switch($C$1,'Créneaux'!$I$2,'Créneaux'!D5,'Créneaux'!$I$10,'Créneaux'!D13,'Créneaux'!$I$18,'Créneaux'!D21,'Créneaux'!$I$26,'Créneaux'!D29,'Créneaux'!$I$34,'Créneaux'!D37,'Créneaux'!$I$38,'Créneaux'!D41)</f>
        <v/>
      </c>
      <c r="B9" s="83" t="str">
        <f>IF(ISNUMBER($F9),switch($C$1,"Mathématiques",$C$3+Vlookup($A9,'Créneaux'!$J$2:$N$9,column('Créneaux'!L$1)-column('Créneaux'!$J$1)+1,0),"Anglais",$C$3+Vlookup($A9,'Créneaux'!$J$10:$N$17,column('Créneaux'!L$1)-column('Créneaux'!$J$1)+1,0),"Physique",$C$3+Vlookup($A9,'Créneaux'!$J$18:$N$25,column('Créneaux'!L$1)-column('Créneaux'!$J$1)+1,0),"Chimie",$C$3+Vlookup($A9,'Créneaux'!$J$26:$N$33,column('Créneaux'!L$1)-column('Créneaux'!$J$1)+1,0),"SI",$C$3+Vlookup($A9,'Créneaux'!$J$34:$N$37,column('Créneaux'!L$1)-column('Créneaux'!$J$1)+1,0),"Français",$C$3+Vlookup($A9,'Créneaux'!$J$38:$N$39,column('Créneaux'!L$1)-column('Créneaux'!$J$1)+1,0)),"")</f>
        <v/>
      </c>
      <c r="C9" s="84" t="str">
        <f>IF(ISNUMBER($F9),switch($C$1,"Mathématiques",Vlookup($A9,'Créneaux'!$J$2:$N$9,column('Créneaux'!M$1)-column('Créneaux'!$J$1)+1,0)&amp;"h","Anglais",Vlookup($A9,'Créneaux'!$J$10:$N$17,column('Créneaux'!M$1)-column('Créneaux'!$J$1)+1,0)&amp;"h","Physique",Vlookup($A9,'Créneaux'!$J$18:$N$25,column('Créneaux'!M$1)-column('Créneaux'!$J$1)+1,0)&amp;"h","Chimie",Vlookup($A9,'Créneaux'!$J$26:$N$33,column('Créneaux'!M$1)-column('Créneaux'!$J$1)+1,0)&amp;"h","SI",Vlookup($A9,'Créneaux'!$J$34:$N$37,column('Créneaux'!M$1)-column('Créneaux'!$J$1)+1,0)&amp;"h","Français",Vlookup($A9,'Créneaux'!$J$38:$N$39,column('Créneaux'!M$1)-column('Créneaux'!$J$1)+1,0)&amp;"h"),"")</f>
        <v/>
      </c>
      <c r="D9" s="85" t="str">
        <f>IF(ISNUMBER($F9),switch($C$1,"Mathématiques",Vlookup($A9,'Créneaux'!$J$2:$N$9,column('Créneaux'!N$1)-column('Créneaux'!$J$1)+1,0),"Anglais",Vlookup($A9,'Créneaux'!$J$10:$N$17,column('Créneaux'!N$1)-column('Créneaux'!$J$1)+1,0),"Physique",Vlookup($A9,'Créneaux'!$J$18:$N$25,column('Créneaux'!N$1)-column('Créneaux'!$J$1)+1,0),"Chimie",Vlookup($A9,'Créneaux'!$J$26:$N$33,column('Créneaux'!N$1)-column('Créneaux'!$J$1)+1,0),"SI",Vlookup($A9,'Créneaux'!$J$34:$N$37,column('Créneaux'!N$1)-column('Créneaux'!$J$1)+1,0),"Français",Vlookup($A9,'Créneaux'!$J$38:$N$39,column('Créneaux'!N$1)-column('Créneaux'!$J$1)+1,0)),"")</f>
        <v/>
      </c>
      <c r="E9" s="60" t="str">
        <f t="shared" si="1"/>
        <v/>
      </c>
      <c r="F9" s="60" t="str">
        <f>IF(ISNUMBER($A9),switch($C$1,"Mathématiques",Vlookup($A9,Colloscope!$B$19:$W$26,match($A$3,Colloscope!$B$1:$W$1),0),"Anglais",Vlookup($A9,Colloscope!$B$28:$W$35,match($A$3,Colloscope!$B$1:$W$1),0),"Physique",Vlookup($A9,Colloscope!$B$42:$W$49,match($A$3,Colloscope!$B$1:$W$1),0),"Chimie",Vlookup($A9,Colloscope!$B$51:$W$58,match($A$3,Colloscope!$B$1:$W$1),0),"SI",Vlookup($A9,Colloscope!$B$37:$W$40,match($A$3,Colloscope!$B$1:$W$1),0),"Français",Vlookup($A9,Colloscope!$B$60:$W$61,match($A$3,Colloscope!$B$1:$W$1),0)),"")</f>
        <v/>
      </c>
      <c r="G9" s="60" t="str">
        <f t="shared" si="2"/>
        <v/>
      </c>
      <c r="H9" s="60" t="str">
        <f t="array" ref="H9">if(ISNUMBER($F9),indirect("Trinômes!"&amp;address(sumproduct('Trinômes'!$B$2:$B$48=$F9,'Trinômes'!$C$2:$C$48=column(H$6)-COLUMN($H$6)+1,ROW('Trinômes'!$A$2:$A$48)-row('Trinômes'!$A$2)+1)+1,column('Trinômes'!$A$1))),"")</f>
        <v/>
      </c>
      <c r="I9" s="60" t="str">
        <f t="array" ref="I9">if(ISNUMBER($F9),indirect("Trinômes!"&amp;address(sumproduct('Trinômes'!$B$2:$B$48=$F9,'Trinômes'!$C$2:$C$48=column(I$6)-COLUMN($H$6)+1,ROW('Trinômes'!$A$2:$A$48)-row('Trinômes'!$A$2)+1)+1,column('Trinômes'!$A$1))),"")</f>
        <v/>
      </c>
      <c r="J9" s="95" t="str">
        <f t="array" ref="J9">if(ISNUMBER($F9),indirect("Trinômes!"&amp;address(sumproduct('Trinômes'!$B$2:$B$48=$F9,'Trinômes'!$C$2:$C$48=column(J$6)-COLUMN($H$6)+1,ROW('Trinômes'!$A$2:$A$48)-row('Trinômes'!$A$2)+1)+1,column('Trinômes'!$A$1))),"")</f>
        <v/>
      </c>
      <c r="K9" s="16"/>
      <c r="L9" s="3"/>
      <c r="M9" s="5"/>
      <c r="N9" s="5"/>
      <c r="O9" s="100"/>
      <c r="P9" s="101"/>
    </row>
    <row r="10">
      <c r="A10" s="60" t="str">
        <f>switch($C$1,'Créneaux'!$I$2,'Créneaux'!D6,'Créneaux'!$I$10,'Créneaux'!D14,'Créneaux'!$I$18,'Créneaux'!D22,'Créneaux'!$I$26,'Créneaux'!D30,'Créneaux'!$I$34,'Créneaux'!D38,'Créneaux'!$I$38,'Créneaux'!D42)</f>
        <v/>
      </c>
      <c r="B10" s="83" t="str">
        <f>IF(ISNUMBER($F10),switch($C$1,"Mathématiques",$C$3+Vlookup($A10,'Créneaux'!$J$2:$N$9,column('Créneaux'!L$1)-column('Créneaux'!$J$1)+1,0),"Anglais",$C$3+Vlookup($A10,'Créneaux'!$J$10:$N$17,column('Créneaux'!L$1)-column('Créneaux'!$J$1)+1,0),"Physique",$C$3+Vlookup($A10,'Créneaux'!$J$18:$N$25,column('Créneaux'!L$1)-column('Créneaux'!$J$1)+1,0),"Chimie",$C$3+Vlookup($A10,'Créneaux'!$J$26:$N$33,column('Créneaux'!L$1)-column('Créneaux'!$J$1)+1,0),"SI",$C$3+Vlookup($A10,'Créneaux'!$J$34:$N$37,column('Créneaux'!L$1)-column('Créneaux'!$J$1)+1,0),"Français",$C$3+Vlookup($A10,'Créneaux'!$J$38:$N$39,column('Créneaux'!L$1)-column('Créneaux'!$J$1)+1,0)),"")</f>
        <v/>
      </c>
      <c r="C10" s="84" t="str">
        <f>IF(ISNUMBER($F10),switch($C$1,"Mathématiques",Vlookup($A10,'Créneaux'!$J$2:$N$9,column('Créneaux'!M$1)-column('Créneaux'!$J$1)+1,0)&amp;"h","Anglais",Vlookup($A10,'Créneaux'!$J$10:$N$17,column('Créneaux'!M$1)-column('Créneaux'!$J$1)+1,0)&amp;"h","Physique",Vlookup($A10,'Créneaux'!$J$18:$N$25,column('Créneaux'!M$1)-column('Créneaux'!$J$1)+1,0)&amp;"h","Chimie",Vlookup($A10,'Créneaux'!$J$26:$N$33,column('Créneaux'!M$1)-column('Créneaux'!$J$1)+1,0)&amp;"h","SI",Vlookup($A10,'Créneaux'!$J$34:$N$37,column('Créneaux'!M$1)-column('Créneaux'!$J$1)+1,0)&amp;"h","Français",Vlookup($A10,'Créneaux'!$J$38:$N$39,column('Créneaux'!M$1)-column('Créneaux'!$J$1)+1,0)&amp;"h"),"")</f>
        <v/>
      </c>
      <c r="D10" s="85" t="str">
        <f>IF(ISNUMBER($F10),switch($C$1,"Mathématiques",Vlookup($A10,'Créneaux'!$J$2:$N$9,column('Créneaux'!N$1)-column('Créneaux'!$J$1)+1,0),"Anglais",Vlookup($A10,'Créneaux'!$J$10:$N$17,column('Créneaux'!N$1)-column('Créneaux'!$J$1)+1,0),"Physique",Vlookup($A10,'Créneaux'!$J$18:$N$25,column('Créneaux'!N$1)-column('Créneaux'!$J$1)+1,0),"Chimie",Vlookup($A10,'Créneaux'!$J$26:$N$33,column('Créneaux'!N$1)-column('Créneaux'!$J$1)+1,0),"SI",Vlookup($A10,'Créneaux'!$J$34:$N$37,column('Créneaux'!N$1)-column('Créneaux'!$J$1)+1,0),"Français",Vlookup($A10,'Créneaux'!$J$38:$N$39,column('Créneaux'!N$1)-column('Créneaux'!$J$1)+1,0)),"")</f>
        <v/>
      </c>
      <c r="E10" s="60" t="str">
        <f t="shared" si="1"/>
        <v/>
      </c>
      <c r="F10" s="60" t="str">
        <f>IF(ISNUMBER($A10),switch($C$1,"Mathématiques",Vlookup($A10,Colloscope!$B$19:$W$26,match($A$3,Colloscope!$B$1:$W$1),0),"Anglais",Vlookup($A10,Colloscope!$B$28:$W$35,match($A$3,Colloscope!$B$1:$W$1),0),"Physique",Vlookup($A10,Colloscope!$B$42:$W$49,match($A$3,Colloscope!$B$1:$W$1),0),"Chimie",Vlookup($A10,Colloscope!$B$51:$W$58,match($A$3,Colloscope!$B$1:$W$1),0),"SI",Vlookup($A10,Colloscope!$B$37:$W$40,match($A$3,Colloscope!$B$1:$W$1),0),"Français",Vlookup($A10,Colloscope!$B$60:$W$61,match($A$3,Colloscope!$B$1:$W$1),0)),"")</f>
        <v/>
      </c>
      <c r="G10" s="60" t="str">
        <f t="shared" si="2"/>
        <v/>
      </c>
      <c r="H10" s="60" t="str">
        <f t="array" ref="H10">if(ISNUMBER($F10),indirect("Trinômes!"&amp;address(sumproduct('Trinômes'!$B$2:$B$48=$F10,'Trinômes'!$C$2:$C$48=column(H$6)-COLUMN($H$6)+1,ROW('Trinômes'!$A$2:$A$48)-row('Trinômes'!$A$2)+1)+1,column('Trinômes'!$A$1))),"")</f>
        <v/>
      </c>
      <c r="I10" s="60" t="str">
        <f t="array" ref="I10">if(ISNUMBER($F10),indirect("Trinômes!"&amp;address(sumproduct('Trinômes'!$B$2:$B$48=$F10,'Trinômes'!$C$2:$C$48=column(I$6)-COLUMN($H$6)+1,ROW('Trinômes'!$A$2:$A$48)-row('Trinômes'!$A$2)+1)+1,column('Trinômes'!$A$1))),"")</f>
        <v/>
      </c>
      <c r="J10" s="95" t="str">
        <f t="array" ref="J10">if(ISNUMBER($F10),indirect("Trinômes!"&amp;address(sumproduct('Trinômes'!$B$2:$B$48=$F10,'Trinômes'!$C$2:$C$48=column(J$6)-COLUMN($H$6)+1,ROW('Trinômes'!$A$2:$A$48)-row('Trinômes'!$A$2)+1)+1,column('Trinômes'!$A$1))),"")</f>
        <v/>
      </c>
      <c r="K10" s="16"/>
      <c r="L10" s="16"/>
      <c r="M10" s="71"/>
      <c r="N10" s="18"/>
      <c r="O10" s="18"/>
      <c r="P10" s="18"/>
    </row>
    <row r="11">
      <c r="A11" s="60" t="str">
        <f>switch($C$1,'Créneaux'!$I$2,'Créneaux'!D7,'Créneaux'!$I$10,'Créneaux'!D15,'Créneaux'!$I$18,'Créneaux'!D23,'Créneaux'!$I$26,'Créneaux'!D31,'Créneaux'!$I$34,'Créneaux'!D39,'Créneaux'!$I$38,'Créneaux'!D43)</f>
        <v/>
      </c>
      <c r="B11" s="83" t="str">
        <f>IF(ISNUMBER($F11),switch($C$1,"Mathématiques",$C$3+Vlookup($A11,'Créneaux'!$J$2:$N$9,column('Créneaux'!L$1)-column('Créneaux'!$J$1)+1,0),"Anglais",$C$3+Vlookup($A11,'Créneaux'!$J$10:$N$17,column('Créneaux'!L$1)-column('Créneaux'!$J$1)+1,0),"Physique",$C$3+Vlookup($A11,'Créneaux'!$J$18:$N$25,column('Créneaux'!L$1)-column('Créneaux'!$J$1)+1,0),"Chimie",$C$3+Vlookup($A11,'Créneaux'!$J$26:$N$33,column('Créneaux'!L$1)-column('Créneaux'!$J$1)+1,0),"SI",$C$3+Vlookup($A11,'Créneaux'!$J$34:$N$37,column('Créneaux'!L$1)-column('Créneaux'!$J$1)+1,0),"Français",$C$3+Vlookup($A11,'Créneaux'!$J$38:$N$39,column('Créneaux'!L$1)-column('Créneaux'!$J$1)+1,0)),"")</f>
        <v/>
      </c>
      <c r="C11" s="84" t="str">
        <f>IF(ISNUMBER($F11),switch($C$1,"Mathématiques",Vlookup($A11,'Créneaux'!$J$2:$N$9,column('Créneaux'!M$1)-column('Créneaux'!$J$1)+1,0)&amp;"h","Anglais",Vlookup($A11,'Créneaux'!$J$10:$N$17,column('Créneaux'!M$1)-column('Créneaux'!$J$1)+1,0)&amp;"h","Physique",Vlookup($A11,'Créneaux'!$J$18:$N$25,column('Créneaux'!M$1)-column('Créneaux'!$J$1)+1,0)&amp;"h","Chimie",Vlookup($A11,'Créneaux'!$J$26:$N$33,column('Créneaux'!M$1)-column('Créneaux'!$J$1)+1,0)&amp;"h","SI",Vlookup($A11,'Créneaux'!$J$34:$N$37,column('Créneaux'!M$1)-column('Créneaux'!$J$1)+1,0)&amp;"h","Français",Vlookup($A11,'Créneaux'!$J$38:$N$39,column('Créneaux'!M$1)-column('Créneaux'!$J$1)+1,0)&amp;"h"),"")</f>
        <v/>
      </c>
      <c r="D11" s="85" t="str">
        <f>IF(ISNUMBER($F11),switch($C$1,"Mathématiques",Vlookup($A11,'Créneaux'!$J$2:$N$9,column('Créneaux'!N$1)-column('Créneaux'!$J$1)+1,0),"Anglais",Vlookup($A11,'Créneaux'!$J$10:$N$17,column('Créneaux'!N$1)-column('Créneaux'!$J$1)+1,0),"Physique",Vlookup($A11,'Créneaux'!$J$18:$N$25,column('Créneaux'!N$1)-column('Créneaux'!$J$1)+1,0),"Chimie",Vlookup($A11,'Créneaux'!$J$26:$N$33,column('Créneaux'!N$1)-column('Créneaux'!$J$1)+1,0),"SI",Vlookup($A11,'Créneaux'!$J$34:$N$37,column('Créneaux'!N$1)-column('Créneaux'!$J$1)+1,0),"Français",Vlookup($A11,'Créneaux'!$J$38:$N$39,column('Créneaux'!N$1)-column('Créneaux'!$J$1)+1,0)),"")</f>
        <v/>
      </c>
      <c r="E11" s="60" t="str">
        <f t="shared" si="1"/>
        <v/>
      </c>
      <c r="F11" s="60" t="str">
        <f>IF(ISNUMBER($A11),switch($C$1,"Mathématiques",Vlookup($A11,Colloscope!$B$19:$W$26,match($A$3,Colloscope!$B$1:$W$1),0),"Anglais",Vlookup($A11,Colloscope!$B$28:$W$35,match($A$3,Colloscope!$B$1:$W$1),0),"Physique",Vlookup($A11,Colloscope!$B$42:$W$49,match($A$3,Colloscope!$B$1:$W$1),0),"Chimie",Vlookup($A11,Colloscope!$B$51:$W$58,match($A$3,Colloscope!$B$1:$W$1),0),"SI",Vlookup($A11,Colloscope!$B$37:$W$40,match($A$3,Colloscope!$B$1:$W$1),0),"Français",Vlookup($A11,Colloscope!$B$60:$W$61,match($A$3,Colloscope!$B$1:$W$1),0)),"")</f>
        <v/>
      </c>
      <c r="G11" s="60" t="str">
        <f t="shared" si="2"/>
        <v/>
      </c>
      <c r="H11" s="60" t="str">
        <f t="array" ref="H11">if(ISNUMBER($F11),indirect("Trinômes!"&amp;address(sumproduct('Trinômes'!$B$2:$B$48=$F11,'Trinômes'!$C$2:$C$48=column(H$6)-COLUMN($H$6)+1,ROW('Trinômes'!$A$2:$A$48)-row('Trinômes'!$A$2)+1)+1,column('Trinômes'!$A$1))),"")</f>
        <v/>
      </c>
      <c r="I11" s="60" t="str">
        <f t="array" ref="I11">if(ISNUMBER($F11),indirect("Trinômes!"&amp;address(sumproduct('Trinômes'!$B$2:$B$48=$F11,'Trinômes'!$C$2:$C$48=column(I$6)-COLUMN($H$6)+1,ROW('Trinômes'!$A$2:$A$48)-row('Trinômes'!$A$2)+1)+1,column('Trinômes'!$A$1))),"")</f>
        <v/>
      </c>
      <c r="J11" s="95" t="str">
        <f t="array" ref="J11">if(ISNUMBER($F11),indirect("Trinômes!"&amp;address(sumproduct('Trinômes'!$B$2:$B$48=$F11,'Trinômes'!$C$2:$C$48=column(J$6)-COLUMN($H$6)+1,ROW('Trinômes'!$A$2:$A$48)-row('Trinômes'!$A$2)+1)+1,column('Trinômes'!$A$1))),"")</f>
        <v/>
      </c>
      <c r="K11" s="16"/>
      <c r="L11" s="16"/>
      <c r="M11" s="71"/>
      <c r="N11" s="18"/>
      <c r="O11" s="18"/>
      <c r="P11" s="18"/>
    </row>
    <row r="12">
      <c r="A12" s="60" t="str">
        <f>switch($C$1,'Créneaux'!$I$2,'Créneaux'!D8,'Créneaux'!$I$10,'Créneaux'!D16,'Créneaux'!$I$18,'Créneaux'!D24,'Créneaux'!$I$26,'Créneaux'!D32,'Créneaux'!$I$34,'Créneaux'!D40,'Créneaux'!$I$38,'Créneaux'!D44)</f>
        <v/>
      </c>
      <c r="B12" s="83" t="str">
        <f>IF(ISNUMBER($F12),switch($C$1,"Mathématiques",$C$3+Vlookup($A12,'Créneaux'!$J$2:$N$9,column('Créneaux'!L$1)-column('Créneaux'!$J$1)+1,0),"Anglais",$C$3+Vlookup($A12,'Créneaux'!$J$10:$N$17,column('Créneaux'!L$1)-column('Créneaux'!$J$1)+1,0),"Physique",$C$3+Vlookup($A12,'Créneaux'!$J$18:$N$25,column('Créneaux'!L$1)-column('Créneaux'!$J$1)+1,0),"Chimie",$C$3+Vlookup($A12,'Créneaux'!$J$26:$N$33,column('Créneaux'!L$1)-column('Créneaux'!$J$1)+1,0),"SI",$C$3+Vlookup($A12,'Créneaux'!$J$34:$N$37,column('Créneaux'!L$1)-column('Créneaux'!$J$1)+1,0),"Français",$C$3+Vlookup($A12,'Créneaux'!$J$38:$N$39,column('Créneaux'!L$1)-column('Créneaux'!$J$1)+1,0)),"")</f>
        <v/>
      </c>
      <c r="C12" s="84" t="str">
        <f>IF(ISNUMBER($F12),switch($C$1,"Mathématiques",Vlookup($A12,'Créneaux'!$J$2:$N$9,column('Créneaux'!M$1)-column('Créneaux'!$J$1)+1,0)&amp;"h","Anglais",Vlookup($A12,'Créneaux'!$J$10:$N$17,column('Créneaux'!M$1)-column('Créneaux'!$J$1)+1,0)&amp;"h","Physique",Vlookup($A12,'Créneaux'!$J$18:$N$25,column('Créneaux'!M$1)-column('Créneaux'!$J$1)+1,0)&amp;"h","Chimie",Vlookup($A12,'Créneaux'!$J$26:$N$33,column('Créneaux'!M$1)-column('Créneaux'!$J$1)+1,0)&amp;"h","SI",Vlookup($A12,'Créneaux'!$J$34:$N$37,column('Créneaux'!M$1)-column('Créneaux'!$J$1)+1,0)&amp;"h","Français",Vlookup($A12,'Créneaux'!$J$38:$N$39,column('Créneaux'!M$1)-column('Créneaux'!$J$1)+1,0)&amp;"h"),"")</f>
        <v/>
      </c>
      <c r="D12" s="85" t="str">
        <f>IF(ISNUMBER($F12),switch($C$1,"Mathématiques",Vlookup($A12,'Créneaux'!$J$2:$N$9,column('Créneaux'!N$1)-column('Créneaux'!$J$1)+1,0),"Anglais",Vlookup($A12,'Créneaux'!$J$10:$N$17,column('Créneaux'!N$1)-column('Créneaux'!$J$1)+1,0),"Physique",Vlookup($A12,'Créneaux'!$J$18:$N$25,column('Créneaux'!N$1)-column('Créneaux'!$J$1)+1,0),"Chimie",Vlookup($A12,'Créneaux'!$J$26:$N$33,column('Créneaux'!N$1)-column('Créneaux'!$J$1)+1,0),"SI",Vlookup($A12,'Créneaux'!$J$34:$N$37,column('Créneaux'!N$1)-column('Créneaux'!$J$1)+1,0),"Français",Vlookup($A12,'Créneaux'!$J$38:$N$39,column('Créneaux'!N$1)-column('Créneaux'!$J$1)+1,0)),"")</f>
        <v/>
      </c>
      <c r="E12" s="60" t="str">
        <f t="shared" si="1"/>
        <v/>
      </c>
      <c r="F12" s="60" t="str">
        <f>IF(ISNUMBER($A12),switch($C$1,"Mathématiques",Vlookup($A12,Colloscope!$B$19:$W$26,match($A$3,Colloscope!$B$1:$W$1),0),"Anglais",Vlookup($A12,Colloscope!$B$28:$W$35,match($A$3,Colloscope!$B$1:$W$1),0),"Physique",Vlookup($A12,Colloscope!$B$42:$W$49,match($A$3,Colloscope!$B$1:$W$1),0),"Chimie",Vlookup($A12,Colloscope!$B$51:$W$58,match($A$3,Colloscope!$B$1:$W$1),0),"SI",Vlookup($A12,Colloscope!$B$37:$W$40,match($A$3,Colloscope!$B$1:$W$1),0),"Français",Vlookup($A12,Colloscope!$B$60:$W$61,match($A$3,Colloscope!$B$1:$W$1),0)),"")</f>
        <v/>
      </c>
      <c r="G12" s="60" t="str">
        <f t="shared" si="2"/>
        <v/>
      </c>
      <c r="H12" s="60" t="str">
        <f t="array" ref="H12">if(ISNUMBER($F12),indirect("Trinômes!"&amp;address(sumproduct('Trinômes'!$B$2:$B$48=$F12,'Trinômes'!$C$2:$C$48=column(H$6)-COLUMN($H$6)+1,ROW('Trinômes'!$A$2:$A$48)-row('Trinômes'!$A$2)+1)+1,column('Trinômes'!$A$1))),"")</f>
        <v/>
      </c>
      <c r="I12" s="60" t="str">
        <f t="array" ref="I12">if(ISNUMBER($F12),indirect("Trinômes!"&amp;address(sumproduct('Trinômes'!$B$2:$B$48=$F12,'Trinômes'!$C$2:$C$48=column(I$6)-COLUMN($H$6)+1,ROW('Trinômes'!$A$2:$A$48)-row('Trinômes'!$A$2)+1)+1,column('Trinômes'!$A$1))),"")</f>
        <v/>
      </c>
      <c r="J12" s="95" t="str">
        <f t="array" ref="J12">if(ISNUMBER($F12),indirect("Trinômes!"&amp;address(sumproduct('Trinômes'!$B$2:$B$48=$F12,'Trinômes'!$C$2:$C$48=column(J$6)-COLUMN($H$6)+1,ROW('Trinômes'!$A$2:$A$48)-row('Trinômes'!$A$2)+1)+1,column('Trinômes'!$A$1))),"")</f>
        <v/>
      </c>
      <c r="K12" s="16"/>
      <c r="L12" s="16"/>
      <c r="M12" s="71"/>
      <c r="N12" s="18"/>
      <c r="O12" s="18"/>
      <c r="P12" s="18"/>
    </row>
    <row r="13">
      <c r="A13" s="60" t="str">
        <f>switch($C$1,'Créneaux'!$I$2,'Créneaux'!D9,'Créneaux'!$I$10,'Créneaux'!D17,'Créneaux'!$I$18,'Créneaux'!D25,'Créneaux'!$I$26,'Créneaux'!D33,'Créneaux'!$I$34,'Créneaux'!D41,'Créneaux'!$I$38,'Créneaux'!D45)</f>
        <v/>
      </c>
      <c r="B13" s="123" t="str">
        <f>IF(ISNUMBER($F13),switch($C$1,"Mathématiques",$C$3+Vlookup($A13,'Créneaux'!$J$2:$N$9,column('Créneaux'!L$1)-column('Créneaux'!$J$1)+1,0),"Anglais",$C$3+Vlookup($A13,'Créneaux'!$J$10:$N$17,column('Créneaux'!L$1)-column('Créneaux'!$J$1)+1,0),"Physique",$C$3+Vlookup($A13,'Créneaux'!$J$18:$N$25,column('Créneaux'!L$1)-column('Créneaux'!$J$1)+1,0),"Chimie",$C$3+Vlookup($A13,'Créneaux'!$J$26:$N$33,column('Créneaux'!L$1)-column('Créneaux'!$J$1)+1,0),"SI",$C$3+Vlookup($A13,'Créneaux'!$J$34:$N$37,column('Créneaux'!L$1)-column('Créneaux'!$J$1)+1,0),"Français",$C$3+Vlookup($A13,'Créneaux'!$J$38:$N$39,column('Créneaux'!L$1)-column('Créneaux'!$J$1)+1,0)),"")</f>
        <v/>
      </c>
      <c r="C13" s="124" t="str">
        <f>IF(ISNUMBER($F13),switch($C$1,"Mathématiques",Vlookup($A13,'Créneaux'!$J$2:$N$9,column('Créneaux'!M$1)-column('Créneaux'!$J$1)+1,0)&amp;"h","Anglais",Vlookup($A13,'Créneaux'!$J$10:$N$17,column('Créneaux'!M$1)-column('Créneaux'!$J$1)+1,0)&amp;"h","Physique",Vlookup($A13,'Créneaux'!$J$18:$N$25,column('Créneaux'!M$1)-column('Créneaux'!$J$1)+1,0)&amp;"h","Chimie",Vlookup($A13,'Créneaux'!$J$26:$N$33,column('Créneaux'!M$1)-column('Créneaux'!$J$1)+1,0)&amp;"h","SI",Vlookup($A13,'Créneaux'!$J$34:$N$37,column('Créneaux'!M$1)-column('Créneaux'!$J$1)+1,0)&amp;"h","Français",Vlookup($A13,'Créneaux'!$J$38:$N$39,column('Créneaux'!M$1)-column('Créneaux'!$J$1)+1,0)&amp;"h"),"")</f>
        <v/>
      </c>
      <c r="D13" s="124" t="str">
        <f>IF(ISNUMBER($F13),switch($C$1,"Mathématiques",Vlookup($A13,'Créneaux'!$J$2:$N$9,column('Créneaux'!N$1)-column('Créneaux'!$J$1)+1,0),"Anglais",Vlookup($A13,'Créneaux'!$J$10:$N$17,column('Créneaux'!N$1)-column('Créneaux'!$J$1)+1,0),"Physique",Vlookup($A13,'Créneaux'!$J$18:$N$25,column('Créneaux'!N$1)-column('Créneaux'!$J$1)+1,0),"Chimie",Vlookup($A13,'Créneaux'!$J$26:$N$33,column('Créneaux'!N$1)-column('Créneaux'!$J$1)+1,0),"SI",Vlookup($A13,'Créneaux'!$J$34:$N$37,column('Créneaux'!N$1)-column('Créneaux'!$J$1)+1,0),"Français",Vlookup($A13,'Créneaux'!$J$38:$N$39,column('Créneaux'!N$1)-column('Créneaux'!$J$1)+1,0)),"")</f>
        <v/>
      </c>
      <c r="E13" s="125" t="str">
        <f t="shared" si="1"/>
        <v/>
      </c>
      <c r="F13" s="125" t="str">
        <f>IF(ISNUMBER($A13),switch($C$1,"Mathématiques",Vlookup($A13,Colloscope!$B$19:$W$26,match($A$3,Colloscope!$B$1:$W$1),0),"Anglais",Vlookup($A13,Colloscope!$B$28:$W$35,match($A$3,Colloscope!$B$1:$W$1),0),"Physique",Vlookup($A13,Colloscope!$B$42:$W$49,match($A$3,Colloscope!$B$1:$W$1),0),"Chimie",Vlookup($A13,Colloscope!$B$51:$W$58,match($A$3,Colloscope!$B$1:$W$1),0),"SI",Vlookup($A13,Colloscope!$B$37:$W$40,match($A$3,Colloscope!$B$1:$W$1),0),"Français",Vlookup($A13,Colloscope!$B$60:$W$61,match($A$3,Colloscope!$B$1:$W$1),0)),"")</f>
        <v/>
      </c>
      <c r="G13" s="125" t="str">
        <f t="shared" si="2"/>
        <v/>
      </c>
      <c r="H13" s="125" t="str">
        <f t="array" ref="H13">if(ISNUMBER($F13),indirect("Trinômes!"&amp;address(sumproduct('Trinômes'!$B$2:$B$48=$F13,'Trinômes'!$C$2:$C$48=column(H$6)-COLUMN($H$6)+1,ROW('Trinômes'!$A$2:$A$48)-row('Trinômes'!$A$2)+1)+1,column('Trinômes'!$A$1))),"")</f>
        <v/>
      </c>
      <c r="I13" s="125" t="str">
        <f t="array" ref="I13">if(ISNUMBER($F13),indirect("Trinômes!"&amp;address(sumproduct('Trinômes'!$B$2:$B$48=$F13,'Trinômes'!$C$2:$C$48=column(I$6)-COLUMN($H$6)+1,ROW('Trinômes'!$A$2:$A$48)-row('Trinômes'!$A$2)+1)+1,column('Trinômes'!$A$1))),"")</f>
        <v/>
      </c>
      <c r="J13" s="130" t="str">
        <f t="array" ref="J13">if(ISNUMBER($F13),indirect("Trinômes!"&amp;address(sumproduct('Trinômes'!$B$2:$B$48=$F13,'Trinômes'!$C$2:$C$48=column(J$6)-COLUMN($H$6)+1,ROW('Trinômes'!$A$2:$A$48)-row('Trinômes'!$A$2)+1)+1,column('Trinômes'!$A$1))),"")</f>
        <v/>
      </c>
      <c r="K13" s="16"/>
      <c r="L13" s="16"/>
      <c r="M13" s="71"/>
      <c r="N13" s="18"/>
      <c r="O13" s="18"/>
      <c r="P13" s="18"/>
    </row>
    <row r="14">
      <c r="G14" s="16"/>
      <c r="H14" s="16"/>
      <c r="I14" s="16"/>
      <c r="J14" s="71"/>
      <c r="K14" s="18"/>
      <c r="L14" s="18"/>
      <c r="M14" s="18"/>
    </row>
    <row r="15">
      <c r="I15" s="16"/>
      <c r="J15" s="71"/>
      <c r="K15" s="18"/>
      <c r="L15" s="18"/>
    </row>
  </sheetData>
  <mergeCells count="3">
    <mergeCell ref="C1:G1"/>
    <mergeCell ref="C2:G2"/>
    <mergeCell ref="C3:G3"/>
  </mergeCells>
  <dataValidations>
    <dataValidation type="list" allowBlank="1" showErrorMessage="1" sqref="C1">
      <formula1>'Créneaux'!$I$2:$I$39</formula1>
    </dataValidation>
    <dataValidation type="list" allowBlank="1" showErrorMessage="1" sqref="C2">
      <formula1>Colleurs</formula1>
    </dataValidation>
    <dataValidation type="list" allowBlank="1" showErrorMessage="1" sqref="C3">
      <formula1>Semaines!$A$2:$A$16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3.0"/>
    <col customWidth="1" hidden="1" min="2" max="2" width="18.63"/>
    <col customWidth="1" hidden="1" min="3" max="3" width="3.5"/>
    <col customWidth="1" hidden="1" min="4" max="4" width="8.5"/>
    <col customWidth="1" hidden="1" min="5" max="5" width="3.25"/>
    <col customWidth="1" hidden="1" min="6" max="6" width="18.88"/>
    <col customWidth="1" hidden="1" min="7" max="7" width="4.13"/>
    <col customWidth="1" hidden="1" min="8" max="8" width="8.75"/>
    <col customWidth="1" hidden="1" min="9" max="9" width="3.5"/>
    <col customWidth="1" hidden="1" min="10" max="10" width="4.0"/>
    <col customWidth="1" min="11" max="11" width="3.63"/>
    <col customWidth="1" min="12" max="12" width="18.5"/>
    <col customWidth="1" min="13" max="13" width="5.88"/>
    <col customWidth="1" min="14" max="14" width="9.0"/>
    <col customWidth="1" min="15" max="15" width="8.5"/>
    <col customWidth="1" min="16" max="16" width="28.38"/>
    <col customWidth="1" min="17" max="17" width="29.88"/>
    <col customWidth="1" min="18" max="18" width="29.38"/>
    <col customWidth="1" min="19" max="19" width="9.25"/>
    <col customWidth="1" min="20" max="20" width="15.13"/>
    <col customWidth="1" min="21" max="21" width="8.75"/>
  </cols>
  <sheetData>
    <row r="1">
      <c r="A1" s="16"/>
      <c r="B1" s="16"/>
      <c r="C1" s="16"/>
      <c r="D1" s="16"/>
      <c r="E1" s="16"/>
      <c r="F1" s="16"/>
      <c r="G1" s="68"/>
      <c r="H1" s="16"/>
      <c r="I1" s="68"/>
      <c r="J1" s="68"/>
      <c r="K1" s="16"/>
      <c r="L1" s="16" t="s">
        <v>17</v>
      </c>
      <c r="M1" s="86" t="s">
        <v>26</v>
      </c>
      <c r="P1" s="18"/>
      <c r="Q1" s="16"/>
      <c r="R1" s="18"/>
      <c r="S1" s="6"/>
      <c r="T1" s="6"/>
    </row>
    <row r="2">
      <c r="A2" s="51"/>
      <c r="B2" s="51"/>
      <c r="C2" s="51"/>
      <c r="D2" s="51"/>
      <c r="E2" s="51"/>
      <c r="F2" s="51"/>
      <c r="G2" s="87"/>
      <c r="H2" s="51"/>
      <c r="I2" s="87"/>
      <c r="J2" s="87"/>
      <c r="K2" s="51"/>
      <c r="L2" s="51" t="s">
        <v>29</v>
      </c>
      <c r="M2" s="88" t="s">
        <v>33</v>
      </c>
      <c r="Q2" s="16"/>
      <c r="R2" s="25"/>
      <c r="S2" s="6"/>
      <c r="T2" s="6"/>
    </row>
    <row r="3">
      <c r="A3" s="16"/>
      <c r="B3" s="16">
        <f>VLOOKUP($M$3,DatesSemaines,2,0)</f>
        <v>7</v>
      </c>
      <c r="C3" s="16"/>
      <c r="D3" s="16"/>
      <c r="E3" s="16"/>
      <c r="F3" s="16"/>
      <c r="G3" s="68"/>
      <c r="H3" s="16"/>
      <c r="I3" s="68"/>
      <c r="J3" s="68"/>
      <c r="K3" s="16"/>
      <c r="L3" s="16" t="s">
        <v>7</v>
      </c>
      <c r="M3" s="89">
        <v>46307.0</v>
      </c>
      <c r="P3" s="24"/>
      <c r="Q3" s="16"/>
      <c r="R3" s="25"/>
      <c r="S3" s="6"/>
      <c r="T3" s="6"/>
    </row>
    <row r="4">
      <c r="G4" s="82"/>
      <c r="I4" s="82"/>
      <c r="J4" s="82"/>
      <c r="M4" s="1"/>
      <c r="O4" s="1"/>
      <c r="P4" s="6"/>
      <c r="Q4" s="29"/>
      <c r="S4" s="6"/>
      <c r="T4" s="6"/>
    </row>
    <row r="5">
      <c r="A5" s="41"/>
      <c r="B5" s="41"/>
      <c r="C5" s="41"/>
      <c r="D5" s="41"/>
      <c r="E5" s="41"/>
      <c r="F5" s="41"/>
      <c r="G5" s="91"/>
      <c r="H5" s="41"/>
      <c r="I5" s="91"/>
      <c r="J5" s="91"/>
      <c r="K5" s="5"/>
      <c r="L5" s="45" t="s">
        <v>24</v>
      </c>
      <c r="M5" s="45" t="s">
        <v>34</v>
      </c>
      <c r="N5" s="45" t="s">
        <v>35</v>
      </c>
      <c r="O5" s="45" t="s">
        <v>36</v>
      </c>
      <c r="P5" s="92" t="s">
        <v>37</v>
      </c>
      <c r="Q5" s="93"/>
      <c r="R5" s="93"/>
      <c r="S5" s="6"/>
      <c r="T5" s="29"/>
      <c r="V5" s="6"/>
      <c r="W5" s="6"/>
    </row>
    <row r="6">
      <c r="A6" s="82">
        <f>IF(SUMPRODUCT('Créneaux'!$I$2:$I$39=$M$1,'Créneaux'!$K$2:$K$39=$M$2)&gt;0,switch($M$1,'Créneaux'!$I$2,'Créneaux'!H2,'Créneaux'!$I$10,'Créneaux'!H10,'Créneaux'!$I$18,'Créneaux'!H18,'Créneaux'!$I$26,'Créneaux'!H26,'Créneaux'!$I$34,'Créneaux'!H34,'Créneaux'!$I$38,'Créneaux'!H38),"")</f>
        <v>1</v>
      </c>
      <c r="B6" s="84">
        <f>IF(ISNUMBER($E6),switch($M$1,"Mathématiques",$M$3+VLOOKUP($A6,'Créneaux'!$J$2:$N$9,COLUMN('Créneaux'!L$1)-COLUMN('Créneaux'!$J$1)+1,0),"Anglais",$M$3+VLOOKUP($A6,'Créneaux'!$J$10:$N$17,COLUMN('Créneaux'!L$1)-COLUMN('Créneaux'!$J$1)+1,0),"Physique",$M$3+VLOOKUP($A6,'Créneaux'!$J$18:$N$25,COLUMN('Créneaux'!L$1)-COLUMN('Créneaux'!$J$1)+1,0),"Chimie",$M$3+VLOOKUP($A6,'Créneaux'!$J$26:$N$33,COLUMN('Créneaux'!L$1)-COLUMN('Créneaux'!$J$1)+1,0),"SI",$M$3+VLOOKUP($A6,'Créneaux'!$J$34:$N$37,COLUMN('Créneaux'!L$1)-COLUMN('Créneaux'!$J$1)+1,0),"Français",$M$3+VLOOKUP($A6,'Créneaux'!$J$38:$N$39,COLUMN('Créneaux'!L$1)-COLUMN('Créneaux'!$J$1)+1,0)),"")</f>
        <v>46309</v>
      </c>
      <c r="C6" s="82">
        <f>IF(ISNUMBER($E6),switch($M$1,"Mathématiques",VLOOKUP($A6,'Créneaux'!$J$2:$N$9,COLUMN('Créneaux'!M$1)-COLUMN('Créneaux'!$J$1)+1,0),"Anglais",VLOOKUP($A6,'Créneaux'!$J$10:$N$17,COLUMN('Créneaux'!M$1)-COLUMN('Créneaux'!$J$1)+1,0),"Physique",VLOOKUP($A6,'Créneaux'!$J$18:$N$25,COLUMN('Créneaux'!M$1)-COLUMN('Créneaux'!$J$1)+1,0),"Chimie",VLOOKUP($A6,'Créneaux'!$J$26:$N$33,COLUMN('Créneaux'!M$1)-COLUMN('Créneaux'!$J$1)+1,0),"SI",VLOOKUP($A6,'Créneaux'!$J$34:$N$37,COLUMN('Créneaux'!M$1)-COLUMN('Créneaux'!$J$1)+1,0),"Français",VLOOKUP($A6,'Créneaux'!$J$38:$N$39,COLUMN('Créneaux'!M$1)-COLUMN('Créneaux'!$J$1)+1,0)),"")</f>
        <v>15</v>
      </c>
      <c r="D6" s="82" t="str">
        <f>IF(ISNUMBER($E6),switch($M$1,"Mathématiques",VLOOKUP($A6,'Créneaux'!$J$2:$N$9,COLUMN('Créneaux'!N$1)-COLUMN('Créneaux'!$J$1)+1,0),"Anglais",VLOOKUP($A6,'Créneaux'!$J$10:$N$17,COLUMN('Créneaux'!N$1)-COLUMN('Créneaux'!$J$1)+1,0),"Physique",VLOOKUP($A6,'Créneaux'!$J$18:$N$25,COLUMN('Créneaux'!N$1)-COLUMN('Créneaux'!$J$1)+1,0),"Chimie",VLOOKUP($A6,'Créneaux'!$J$26:$N$33,COLUMN('Créneaux'!N$1)-COLUMN('Créneaux'!$J$1)+1,0),"SI",VLOOKUP($A6,'Créneaux'!$J$34:$N$37,COLUMN('Créneaux'!N$1)-COLUMN('Créneaux'!$J$1)+1,0),"Français",VLOOKUP($A6,'Créneaux'!$J$38:$N$39,COLUMN('Créneaux'!N$1)-COLUMN('Créneaux'!$J$1)+1,0)),"")</f>
        <v>Prépa 35</v>
      </c>
      <c r="E6" s="60">
        <f>IF(ISNUMBER($A6),switch($M$1,"Mathématiques",VLOOKUP($A6,Colloscope!$B$19:$W$26,MATCH($B$3,Colloscope!$B$1:$W$1),0),"Anglais",VLOOKUP($A6,Colloscope!$B$28:$W$35,MATCH($B$3,Colloscope!$B$1:$W$1),0),"Physique",VLOOKUP($A6,Colloscope!$B$42:$W$49,MATCH($B$3,Colloscope!$B$1:$W$1),0),"Chimie",VLOOKUP($A6,Colloscope!$B$51:$W$58,MATCH($B$3,Colloscope!$B$1:$W$1),0),"SI",VLOOKUP($A6,Colloscope!$B$37:$W$40,MATCH($B$3,Colloscope!$B$1:$W$1),0),"Français",VLOOKUP($A6,Colloscope!$B$60:$W$61,MATCH($B$3,Colloscope!$B$1:$W$1),0)),"")</f>
        <v>12</v>
      </c>
      <c r="F6" s="84">
        <f t="array" ref="F6:I13">sort(B6:E13,B6:B13,true,C6:C13,true)</f>
        <v>46309</v>
      </c>
      <c r="G6" s="82">
        <v>15.0</v>
      </c>
      <c r="H6" s="84" t="s">
        <v>80</v>
      </c>
      <c r="I6" s="82">
        <v>12.0</v>
      </c>
      <c r="J6" s="82">
        <f t="shared" ref="J6:J11" si="2">IF(L6="",J5+1,1)</f>
        <v>1</v>
      </c>
      <c r="K6" s="96"/>
      <c r="L6" s="96">
        <f t="array" ref="L6">IF(NOT(ISBLANK(indirect(ADDRESS(ROW($F$6)+quotient(ROW()-ROW($F$6),3),COLUMN(F$6))))),indirect(ADDRESS(ROW($F$6)+quotient(ROW()-ROW($F$6),3),COLUMN(F$6))),"")</f>
        <v>46309</v>
      </c>
      <c r="M6" s="98" t="str">
        <f t="array" ref="M6">IF(NOT(indirect(ADDRESS(ROW($F$6)+quotient(ROW()-ROW($F$6),3),COLUMN(G$6)))=""),indirect(ADDRESS(ROW($F$6)+quotient(ROW()-ROW($F$6),3),COLUMN(G$6)))&amp;"h","")</f>
        <v>15h</v>
      </c>
      <c r="N6" s="84" t="str">
        <f t="shared" ref="N6:O6" si="1">IF(NOT(ISBLANK(indirect(ADDRESS(ROW($F$6)+quotient(ROW()-ROW($F$6),3),COLUMN(H$6))))),indirect(ADDRESS(ROW($F$6)+quotient(ROW()-ROW($F$6),3),COLUMN(H$6))),"")</f>
        <v>Prépa 35</v>
      </c>
      <c r="O6" s="98">
        <f t="shared" si="1"/>
        <v>12</v>
      </c>
      <c r="P6" s="60" t="str">
        <f t="array" ref="P6">IF(NOT(O6=""),IF(SUMPRODUCT('Trinômes'!$B$2:$B$48=O6,'Trinômes'!$C$2:$C$48=J6)&gt;0,indirect("Trinômes!"&amp;ADDRESS(SUMPRODUCT('Trinômes'!$B$2:$B$48=O6,'Trinômes'!$C$2:$C$48=J6,ROW('Trinômes'!$A$2:$A$48)),1)),""),"")</f>
        <v>POURCHIER Manon</v>
      </c>
      <c r="Q6" s="60" t="str">
        <f t="array" ref="Q6">if(ISNUMBER(#REF!),indirect("Trinômes!"&amp;address(sumproduct('Trinômes'!$B$2:$B$48=#REF!,'Trinômes'!$C$2:$C$48=column(Q$6)-COLUMN($P$6)+1,ROW('Trinômes'!$A$2:$A$48)-row('Trinômes'!$A$2)+1)+1,column('Trinômes'!$A$1))),"")</f>
        <v/>
      </c>
      <c r="R6" s="60" t="str">
        <f t="array" ref="R6">if(ISNUMBER(#REF!),indirect("Trinômes!"&amp;address(sumproduct('Trinômes'!$B$2:$B$48=#REF!,'Trinômes'!$C$2:$C$48=column(R$6)-COLUMN($P$6)+1,ROW('Trinômes'!$A$2:$A$48)-row('Trinômes'!$A$2)+1)+1,column('Trinômes'!$A$1))),"")</f>
        <v/>
      </c>
      <c r="S6" s="6"/>
      <c r="T6" s="29"/>
      <c r="V6" s="6"/>
      <c r="W6" s="6"/>
    </row>
    <row r="7">
      <c r="A7" s="82">
        <f>IF(SUMPRODUCT('Créneaux'!$I$2:$I$39=$M$1,'Créneaux'!$K$2:$K$39=$M$2)&gt;0,switch($M$1,'Créneaux'!$I$2,'Créneaux'!H3,'Créneaux'!$I$10,'Créneaux'!H11,'Créneaux'!$I$18,'Créneaux'!H19,'Créneaux'!$I$26,'Créneaux'!H27,'Créneaux'!$I$34,'Créneaux'!H35,'Créneaux'!$I$38,'Créneaux'!H39),"")</f>
        <v>2</v>
      </c>
      <c r="B7" s="84">
        <f>IF(ISNUMBER($E7),switch($M$1,"Mathématiques",$M$3+VLOOKUP($A7,'Créneaux'!$J$2:$N$9,COLUMN('Créneaux'!L$1)-COLUMN('Créneaux'!$J$1)+1,0),"Anglais",$M$3+VLOOKUP($A7,'Créneaux'!$J$10:$N$17,COLUMN('Créneaux'!L$1)-COLUMN('Créneaux'!$J$1)+1,0),"Physique",$M$3+VLOOKUP($A7,'Créneaux'!$J$18:$N$25,COLUMN('Créneaux'!L$1)-COLUMN('Créneaux'!$J$1)+1,0),"Chimie",$M$3+VLOOKUP($A7,'Créneaux'!$J$26:$N$33,COLUMN('Créneaux'!L$1)-COLUMN('Créneaux'!$J$1)+1,0),"SI",$M$3+VLOOKUP($A7,'Créneaux'!$J$34:$N$37,COLUMN('Créneaux'!L$1)-COLUMN('Créneaux'!$J$1)+1,0),"Français",$M$3+VLOOKUP($A7,'Créneaux'!$J$38:$N$39,COLUMN('Créneaux'!L$1)-COLUMN('Créneaux'!$J$1)+1,0)),"")</f>
        <v>46309</v>
      </c>
      <c r="C7" s="82">
        <f>IF(ISNUMBER($E7),switch($M$1,"Mathématiques",VLOOKUP($A7,'Créneaux'!$J$2:$N$9,COLUMN('Créneaux'!M$1)-COLUMN('Créneaux'!$J$1)+1,0),"Anglais",VLOOKUP($A7,'Créneaux'!$J$10:$N$17,COLUMN('Créneaux'!M$1)-COLUMN('Créneaux'!$J$1)+1,0),"Physique",VLOOKUP($A7,'Créneaux'!$J$18:$N$25,COLUMN('Créneaux'!M$1)-COLUMN('Créneaux'!$J$1)+1,0),"Chimie",VLOOKUP($A7,'Créneaux'!$J$26:$N$33,COLUMN('Créneaux'!M$1)-COLUMN('Créneaux'!$J$1)+1,0),"SI",VLOOKUP($A7,'Créneaux'!$J$34:$N$37,COLUMN('Créneaux'!M$1)-COLUMN('Créneaux'!$J$1)+1,0),"Français",VLOOKUP($A7,'Créneaux'!$J$38:$N$39,COLUMN('Créneaux'!M$1)-COLUMN('Créneaux'!$J$1)+1,0)),"")</f>
        <v>16</v>
      </c>
      <c r="D7" s="82" t="str">
        <f>IF(ISNUMBER($E7),switch($M$1,"Mathématiques",VLOOKUP($A7,'Créneaux'!$J$2:$N$9,COLUMN('Créneaux'!N$1)-COLUMN('Créneaux'!$J$1)+1,0),"Anglais",VLOOKUP($A7,'Créneaux'!$J$10:$N$17,COLUMN('Créneaux'!N$1)-COLUMN('Créneaux'!$J$1)+1,0),"Physique",VLOOKUP($A7,'Créneaux'!$J$18:$N$25,COLUMN('Créneaux'!N$1)-COLUMN('Créneaux'!$J$1)+1,0),"Chimie",VLOOKUP($A7,'Créneaux'!$J$26:$N$33,COLUMN('Créneaux'!N$1)-COLUMN('Créneaux'!$J$1)+1,0),"SI",VLOOKUP($A7,'Créneaux'!$J$34:$N$37,COLUMN('Créneaux'!N$1)-COLUMN('Créneaux'!$J$1)+1,0),"Français",VLOOKUP($A7,'Créneaux'!$J$38:$N$39,COLUMN('Créneaux'!N$1)-COLUMN('Créneaux'!$J$1)+1,0)),"")</f>
        <v>Prépa 35</v>
      </c>
      <c r="E7" s="60">
        <f>IF(ISNUMBER($A7),switch($M$1,"Mathématiques",VLOOKUP($A7,Colloscope!$B$19:$W$26,MATCH($B$3,Colloscope!$B$1:$W$1),0),"Anglais",VLOOKUP($A7,Colloscope!$B$28:$W$35,MATCH($B$3,Colloscope!$B$1:$W$1),0),"Physique",VLOOKUP($A7,Colloscope!$B$42:$W$49,MATCH($B$3,Colloscope!$B$1:$W$1),0),"Chimie",VLOOKUP($A7,Colloscope!$B$51:$W$58,MATCH($B$3,Colloscope!$B$1:$W$1),0),"SI",VLOOKUP($A7,Colloscope!$B$37:$W$40,MATCH($B$3,Colloscope!$B$1:$W$1),0),"Français",VLOOKUP($A7,Colloscope!$B$60:$W$61,MATCH($B$3,Colloscope!$B$1:$W$1),0)),"")</f>
        <v>6</v>
      </c>
      <c r="F7" s="84">
        <v>46309.0</v>
      </c>
      <c r="G7" s="82">
        <v>16.0</v>
      </c>
      <c r="H7" s="84" t="s">
        <v>80</v>
      </c>
      <c r="I7" s="82">
        <v>6.0</v>
      </c>
      <c r="J7" s="82">
        <f t="shared" si="2"/>
        <v>2</v>
      </c>
      <c r="K7" s="84"/>
      <c r="L7" s="84" t="str">
        <f>IF(ISNUMBER(#REF!),switch($M$1,"Mathématiques",$M$3+Vlookup(#REF!,'Créneaux'!$J$2:$N$9,column('Créneaux'!L$1)-column('Créneaux'!$J$1)+1,0),"Anglais",$M$3+Vlookup(#REF!,'Créneaux'!$J$10:$N$17,column('Créneaux'!L$1)-column('Créneaux'!$J$1)+1,0),"Physique",$M$3+Vlookup(#REF!,'Créneaux'!$J$18:$N$25,column('Créneaux'!L$1)-column('Créneaux'!$J$1)+1,0),"Chimie",$M$3+Vlookup(#REF!,'Créneaux'!$J$26:$N$33,column('Créneaux'!L$1)-column('Créneaux'!$J$1)+1,0),"SI",$M$3+Vlookup(#REF!,'Créneaux'!$J$34:$N$37,column('Créneaux'!L$1)-column('Créneaux'!$J$1)+1,0),"Français",$M$3+Vlookup(#REF!,'Créneaux'!$J$38:$N$39,column('Créneaux'!L$1)-column('Créneaux'!$J$1)+1,0)),"")</f>
        <v/>
      </c>
      <c r="M7" s="98" t="str">
        <f>IF(ISNUMBER(#REF!),switch($M$1,"Mathématiques",Vlookup(#REF!,'Créneaux'!$J$2:$N$9,column('Créneaux'!M$1)-column('Créneaux'!$J$1)+1,0)&amp;"h","Anglais",Vlookup(#REF!,'Créneaux'!$J$10:$N$17,column('Créneaux'!M$1)-column('Créneaux'!$J$1)+1,0)&amp;"h","Physique",Vlookup(#REF!,'Créneaux'!$J$18:$N$25,column('Créneaux'!M$1)-column('Créneaux'!$J$1)+1,0)&amp;"h","Chimie",Vlookup(#REF!,'Créneaux'!$J$26:$N$33,column('Créneaux'!M$1)-column('Créneaux'!$J$1)+1,0)&amp;"h","SI",Vlookup(#REF!,'Créneaux'!$J$34:$N$37,column('Créneaux'!M$1)-column('Créneaux'!$J$1)+1,0)&amp;"h","Français",Vlookup(#REF!,'Créneaux'!$J$38:$N$39,column('Créneaux'!M$1)-column('Créneaux'!$J$1)+1,0)&amp;"h"),"")</f>
        <v/>
      </c>
      <c r="N7" s="98"/>
      <c r="O7" s="98" t="str">
        <f t="shared" ref="O7:O8" si="3">if(isnumber(#REF!),"Trinôme ","")</f>
        <v/>
      </c>
      <c r="P7" s="60" t="str">
        <f t="array" ref="P7">IF(NOT(O6=""),IF(SUMPRODUCT('Trinômes'!$B$2:$B$48=O6,'Trinômes'!$C$2:$C$48=J7)&gt;0,indirect("Trinômes!"&amp;ADDRESS(SUMPRODUCT('Trinômes'!$B$2:$B$48=O6,'Trinômes'!$C$2:$C$48=J7,ROW('Trinômes'!$A$2:$A$48)),1)),""),"")</f>
        <v>RAITORE Maya</v>
      </c>
      <c r="Q7" s="60" t="str">
        <f t="array" ref="Q7">if(ISNUMBER(#REF!),indirect("Trinômes!"&amp;address(sumproduct('Trinômes'!$B$2:$B$48=#REF!,'Trinômes'!$C$2:$C$48=column(Q$6)-COLUMN($P$6)+1,ROW('Trinômes'!$A$2:$A$48)-row('Trinômes'!$A$2)+1)+1,column('Trinômes'!$A$1))),"")</f>
        <v/>
      </c>
      <c r="R7" s="60" t="str">
        <f t="array" ref="R7">if(ISNUMBER(#REF!),indirect("Trinômes!"&amp;address(sumproduct('Trinômes'!$B$2:$B$48=#REF!,'Trinômes'!$C$2:$C$48=column(R$6)-COLUMN($P$6)+1,ROW('Trinômes'!$A$2:$A$48)-row('Trinômes'!$A$2)+1)+1,column('Trinômes'!$A$1))),"")</f>
        <v/>
      </c>
      <c r="S7" s="2"/>
    </row>
    <row r="8">
      <c r="A8" s="82" t="str">
        <f>IF(SUMPRODUCT('Créneaux'!$I$2:$I$39=$M$1,'Créneaux'!$K$2:$K$39=$M$2)&gt;0,switch($M$1,'Créneaux'!$I$2,'Créneaux'!H4,'Créneaux'!$I$10,'Créneaux'!H12,'Créneaux'!$I$18,'Créneaux'!H20,'Créneaux'!$I$26,'Créneaux'!H28,'Créneaux'!$I$34,'Créneaux'!H36,'Créneaux'!$I$38,'Créneaux'!H40),"")</f>
        <v/>
      </c>
      <c r="B8" s="84" t="str">
        <f>IF(ISNUMBER($E8),switch($M$1,"Mathématiques",$M$3+VLOOKUP($A8,'Créneaux'!$J$2:$N$9,COLUMN('Créneaux'!L$1)-COLUMN('Créneaux'!$J$1)+1,0),"Anglais",$M$3+VLOOKUP($A8,'Créneaux'!$J$10:$N$17,COLUMN('Créneaux'!L$1)-COLUMN('Créneaux'!$J$1)+1,0),"Physique",$M$3+VLOOKUP($A8,'Créneaux'!$J$18:$N$25,COLUMN('Créneaux'!L$1)-COLUMN('Créneaux'!$J$1)+1,0),"Chimie",$M$3+VLOOKUP($A8,'Créneaux'!$J$26:$N$33,COLUMN('Créneaux'!L$1)-COLUMN('Créneaux'!$J$1)+1,0),"SI",$M$3+VLOOKUP($A8,'Créneaux'!$J$34:$N$37,COLUMN('Créneaux'!L$1)-COLUMN('Créneaux'!$J$1)+1,0),"Français",$M$3+VLOOKUP($A8,'Créneaux'!$J$38:$N$39,COLUMN('Créneaux'!L$1)-COLUMN('Créneaux'!$J$1)+1,0)),"")</f>
        <v/>
      </c>
      <c r="C8" s="82" t="str">
        <f>IF(ISNUMBER($E8),switch($M$1,"Mathématiques",VLOOKUP($A8,'Créneaux'!$J$2:$N$9,COLUMN('Créneaux'!M$1)-COLUMN('Créneaux'!$J$1)+1,0),"Anglais",VLOOKUP($A8,'Créneaux'!$J$10:$N$17,COLUMN('Créneaux'!M$1)-COLUMN('Créneaux'!$J$1)+1,0),"Physique",VLOOKUP($A8,'Créneaux'!$J$18:$N$25,COLUMN('Créneaux'!M$1)-COLUMN('Créneaux'!$J$1)+1,0),"Chimie",VLOOKUP($A8,'Créneaux'!$J$26:$N$33,COLUMN('Créneaux'!M$1)-COLUMN('Créneaux'!$J$1)+1,0),"SI",VLOOKUP($A8,'Créneaux'!$J$34:$N$37,COLUMN('Créneaux'!M$1)-COLUMN('Créneaux'!$J$1)+1,0),"Français",VLOOKUP($A8,'Créneaux'!$J$38:$N$39,COLUMN('Créneaux'!M$1)-COLUMN('Créneaux'!$J$1)+1,0)),"")</f>
        <v/>
      </c>
      <c r="D8" s="82" t="str">
        <f>IF(ISNUMBER($E8),switch($M$1,"Mathématiques",VLOOKUP($A8,'Créneaux'!$J$2:$N$9,COLUMN('Créneaux'!N$1)-COLUMN('Créneaux'!$J$1)+1,0),"Anglais",VLOOKUP($A8,'Créneaux'!$J$10:$N$17,COLUMN('Créneaux'!N$1)-COLUMN('Créneaux'!$J$1)+1,0),"Physique",VLOOKUP($A8,'Créneaux'!$J$18:$N$25,COLUMN('Créneaux'!N$1)-COLUMN('Créneaux'!$J$1)+1,0),"Chimie",VLOOKUP($A8,'Créneaux'!$J$26:$N$33,COLUMN('Créneaux'!N$1)-COLUMN('Créneaux'!$J$1)+1,0),"SI",VLOOKUP($A8,'Créneaux'!$J$34:$N$37,COLUMN('Créneaux'!N$1)-COLUMN('Créneaux'!$J$1)+1,0),"Français",VLOOKUP($A8,'Créneaux'!$J$38:$N$39,COLUMN('Créneaux'!N$1)-COLUMN('Créneaux'!$J$1)+1,0)),"")</f>
        <v/>
      </c>
      <c r="E8" s="60" t="str">
        <f>IF(ISNUMBER($A8),switch($M$1,"Mathématiques",VLOOKUP($A8,Colloscope!$B$19:$W$26,MATCH($B$3,Colloscope!$B$1:$W$1),0),"Anglais",VLOOKUP($A8,Colloscope!$B$28:$W$35,MATCH($B$3,Colloscope!$B$1:$W$1),0),"Physique",VLOOKUP($A8,Colloscope!$B$42:$W$49,MATCH($B$3,Colloscope!$B$1:$W$1),0),"Chimie",VLOOKUP($A8,Colloscope!$B$51:$W$58,MATCH($B$3,Colloscope!$B$1:$W$1),0),"SI",VLOOKUP($A8,Colloscope!$B$37:$W$40,MATCH($B$3,Colloscope!$B$1:$W$1),0),"Français",VLOOKUP($A8,Colloscope!$B$60:$W$61,MATCH($B$3,Colloscope!$B$1:$W$1),0)),"")</f>
        <v/>
      </c>
      <c r="F8" s="84" t="s">
        <v>45</v>
      </c>
      <c r="G8" s="82" t="s">
        <v>45</v>
      </c>
      <c r="H8" s="84" t="s">
        <v>45</v>
      </c>
      <c r="I8" s="82" t="s">
        <v>45</v>
      </c>
      <c r="J8" s="82">
        <f t="shared" si="2"/>
        <v>3</v>
      </c>
      <c r="K8" s="84"/>
      <c r="L8" s="84" t="str">
        <f>IF(ISNUMBER(#REF!),switch($M$1,"Mathématiques",$M$3+Vlookup(#REF!,'Créneaux'!$J$2:$N$9,column('Créneaux'!L$1)-column('Créneaux'!$J$1)+1,0),"Anglais",$M$3+Vlookup(#REF!,'Créneaux'!$J$10:$N$17,column('Créneaux'!L$1)-column('Créneaux'!$J$1)+1,0),"Physique",$M$3+Vlookup(#REF!,'Créneaux'!$J$18:$N$25,column('Créneaux'!L$1)-column('Créneaux'!$J$1)+1,0),"Chimie",$M$3+Vlookup(#REF!,'Créneaux'!$J$26:$N$33,column('Créneaux'!L$1)-column('Créneaux'!$J$1)+1,0),"SI",$M$3+Vlookup(#REF!,'Créneaux'!$J$34:$N$37,column('Créneaux'!L$1)-column('Créneaux'!$J$1)+1,0),"Français",$M$3+Vlookup(#REF!,'Créneaux'!$J$38:$N$39,column('Créneaux'!L$1)-column('Créneaux'!$J$1)+1,0)),"")</f>
        <v/>
      </c>
      <c r="M8" s="98" t="str">
        <f>IF(ISNUMBER(#REF!),switch($M$1,"Mathématiques",Vlookup(#REF!,'Créneaux'!$J$2:$N$9,column('Créneaux'!M$1)-column('Créneaux'!$J$1)+1,0)&amp;"h","Anglais",Vlookup(#REF!,'Créneaux'!$J$10:$N$17,column('Créneaux'!M$1)-column('Créneaux'!$J$1)+1,0)&amp;"h","Physique",Vlookup(#REF!,'Créneaux'!$J$18:$N$25,column('Créneaux'!M$1)-column('Créneaux'!$J$1)+1,0)&amp;"h","Chimie",Vlookup(#REF!,'Créneaux'!$J$26:$N$33,column('Créneaux'!M$1)-column('Créneaux'!$J$1)+1,0)&amp;"h","SI",Vlookup(#REF!,'Créneaux'!$J$34:$N$37,column('Créneaux'!M$1)-column('Créneaux'!$J$1)+1,0)&amp;"h","Français",Vlookup(#REF!,'Créneaux'!$J$38:$N$39,column('Créneaux'!M$1)-column('Créneaux'!$J$1)+1,0)&amp;"h"),"")</f>
        <v/>
      </c>
      <c r="N8" s="98"/>
      <c r="O8" s="98" t="str">
        <f t="shared" si="3"/>
        <v/>
      </c>
      <c r="P8" s="60" t="str">
        <f t="array" ref="P8">IF(NOT(O6=""),IF(SUMPRODUCT('Trinômes'!$B$2:$B$48=O6,'Trinômes'!$C$2:$C$48=J8)&gt;0,indirect("Trinômes!"&amp;ADDRESS(SUMPRODUCT('Trinômes'!$B$2:$B$48=O6,'Trinômes'!$C$2:$C$48=J8,ROW('Trinômes'!$A$2:$A$48)),1)),""),"")</f>
        <v>RAKOTOARIVELO Yann</v>
      </c>
      <c r="Q8" s="60" t="str">
        <f t="array" ref="Q8">if(ISNUMBER(#REF!),indirect("Trinômes!"&amp;address(sumproduct('Trinômes'!$B$2:$B$48=#REF!,'Trinômes'!$C$2:$C$48=column(Q$6)-COLUMN($P$6)+1,ROW('Trinômes'!$A$2:$A$48)-row('Trinômes'!$A$2)+1)+1,column('Trinômes'!$A$1))),"")</f>
        <v/>
      </c>
      <c r="R8" s="60" t="str">
        <f t="array" ref="R8">if(ISNUMBER(#REF!),indirect("Trinômes!"&amp;address(sumproduct('Trinômes'!$B$2:$B$48=#REF!,'Trinômes'!$C$2:$C$48=column(R$6)-COLUMN($P$6)+1,ROW('Trinômes'!$A$2:$A$48)-row('Trinômes'!$A$2)+1)+1,column('Trinômes'!$A$1))),"")</f>
        <v/>
      </c>
      <c r="S8" s="2"/>
      <c r="T8" s="3"/>
      <c r="U8" s="5"/>
      <c r="V8" s="5"/>
      <c r="W8" s="99"/>
    </row>
    <row r="9">
      <c r="A9" s="82" t="str">
        <f>IF(SUMPRODUCT('Créneaux'!$I$2:$I$39=$M$1,'Créneaux'!$K$2:$K$39=$M$2)&gt;0,switch($M$1,'Créneaux'!$I$2,'Créneaux'!H5,'Créneaux'!$I$10,'Créneaux'!H13,'Créneaux'!$I$18,'Créneaux'!H21,'Créneaux'!$I$26,'Créneaux'!H29,'Créneaux'!$I$34,'Créneaux'!H37,'Créneaux'!$I$38,'Créneaux'!H41),"")</f>
        <v/>
      </c>
      <c r="B9" s="84" t="str">
        <f>IF(ISNUMBER($E9),switch($M$1,"Mathématiques",$M$3+VLOOKUP($A9,'Créneaux'!$J$2:$N$9,COLUMN('Créneaux'!L$1)-COLUMN('Créneaux'!$J$1)+1,0),"Anglais",$M$3+VLOOKUP($A9,'Créneaux'!$J$10:$N$17,COLUMN('Créneaux'!L$1)-COLUMN('Créneaux'!$J$1)+1,0),"Physique",$M$3+VLOOKUP($A9,'Créneaux'!$J$18:$N$25,COLUMN('Créneaux'!L$1)-COLUMN('Créneaux'!$J$1)+1,0),"Chimie",$M$3+VLOOKUP($A9,'Créneaux'!$J$26:$N$33,COLUMN('Créneaux'!L$1)-COLUMN('Créneaux'!$J$1)+1,0),"SI",$M$3+VLOOKUP($A9,'Créneaux'!$J$34:$N$37,COLUMN('Créneaux'!L$1)-COLUMN('Créneaux'!$J$1)+1,0),"Français",$M$3+VLOOKUP($A9,'Créneaux'!$J$38:$N$39,COLUMN('Créneaux'!L$1)-COLUMN('Créneaux'!$J$1)+1,0)),"")</f>
        <v/>
      </c>
      <c r="C9" s="82" t="str">
        <f>IF(ISNUMBER($E9),switch($M$1,"Mathématiques",VLOOKUP($A9,'Créneaux'!$J$2:$N$9,COLUMN('Créneaux'!M$1)-COLUMN('Créneaux'!$J$1)+1,0),"Anglais",VLOOKUP($A9,'Créneaux'!$J$10:$N$17,COLUMN('Créneaux'!M$1)-COLUMN('Créneaux'!$J$1)+1,0),"Physique",VLOOKUP($A9,'Créneaux'!$J$18:$N$25,COLUMN('Créneaux'!M$1)-COLUMN('Créneaux'!$J$1)+1,0),"Chimie",VLOOKUP($A9,'Créneaux'!$J$26:$N$33,COLUMN('Créneaux'!M$1)-COLUMN('Créneaux'!$J$1)+1,0),"SI",VLOOKUP($A9,'Créneaux'!$J$34:$N$37,COLUMN('Créneaux'!M$1)-COLUMN('Créneaux'!$J$1)+1,0),"Français",VLOOKUP($A9,'Créneaux'!$J$38:$N$39,COLUMN('Créneaux'!M$1)-COLUMN('Créneaux'!$J$1)+1,0)),"")</f>
        <v/>
      </c>
      <c r="D9" s="82" t="str">
        <f>IF(ISNUMBER($E9),switch($M$1,"Mathématiques",VLOOKUP($A9,'Créneaux'!$J$2:$N$9,COLUMN('Créneaux'!N$1)-COLUMN('Créneaux'!$J$1)+1,0),"Anglais",VLOOKUP($A9,'Créneaux'!$J$10:$N$17,COLUMN('Créneaux'!N$1)-COLUMN('Créneaux'!$J$1)+1,0),"Physique",VLOOKUP($A9,'Créneaux'!$J$18:$N$25,COLUMN('Créneaux'!N$1)-COLUMN('Créneaux'!$J$1)+1,0),"Chimie",VLOOKUP($A9,'Créneaux'!$J$26:$N$33,COLUMN('Créneaux'!N$1)-COLUMN('Créneaux'!$J$1)+1,0),"SI",VLOOKUP($A9,'Créneaux'!$J$34:$N$37,COLUMN('Créneaux'!N$1)-COLUMN('Créneaux'!$J$1)+1,0),"Français",VLOOKUP($A9,'Créneaux'!$J$38:$N$39,COLUMN('Créneaux'!N$1)-COLUMN('Créneaux'!$J$1)+1,0)),"")</f>
        <v/>
      </c>
      <c r="E9" s="60" t="str">
        <f>IF(ISNUMBER($A9),switch($M$1,"Mathématiques",VLOOKUP($A9,Colloscope!$B$19:$W$26,MATCH($B$3,Colloscope!$B$1:$W$1),0),"Anglais",VLOOKUP($A9,Colloscope!$B$28:$W$35,MATCH($B$3,Colloscope!$B$1:$W$1),0),"Physique",VLOOKUP($A9,Colloscope!$B$42:$W$49,MATCH($B$3,Colloscope!$B$1:$W$1),0),"Chimie",VLOOKUP($A9,Colloscope!$B$51:$W$58,MATCH($B$3,Colloscope!$B$1:$W$1),0),"SI",VLOOKUP($A9,Colloscope!$B$37:$W$40,MATCH($B$3,Colloscope!$B$1:$W$1),0),"Français",VLOOKUP($A9,Colloscope!$B$60:$W$61,MATCH($B$3,Colloscope!$B$1:$W$1),0)),"")</f>
        <v/>
      </c>
      <c r="F9" s="84" t="s">
        <v>45</v>
      </c>
      <c r="G9" s="82" t="s">
        <v>45</v>
      </c>
      <c r="H9" s="84" t="s">
        <v>45</v>
      </c>
      <c r="I9" s="82" t="s">
        <v>45</v>
      </c>
      <c r="J9" s="82">
        <f t="shared" si="2"/>
        <v>1</v>
      </c>
      <c r="K9" s="84"/>
      <c r="L9" s="84">
        <f t="array" ref="L9">IF(NOT(ISBLANK(indirect(ADDRESS(ROW($F$6)+quotient(ROW()-ROW($F$6),3),COLUMN(F$6))))),indirect(ADDRESS(ROW($F$6)+quotient(ROW()-ROW($F$6),3),COLUMN(F$6))),"")</f>
        <v>46309</v>
      </c>
      <c r="M9" s="98" t="str">
        <f t="array" ref="M9">IF(NOT(indirect(ADDRESS(ROW($F$6)+quotient(ROW()-ROW($F$6),3),COLUMN(G$6)))=""),indirect(ADDRESS(ROW($F$6)+quotient(ROW()-ROW($F$6),3),COLUMN(G$6)))&amp;"h","")</f>
        <v>16h</v>
      </c>
      <c r="N9" s="84" t="str">
        <f t="shared" ref="N9:O9" si="4">IF(NOT(ISBLANK(indirect(ADDRESS(ROW($F$6)+quotient(ROW()-ROW($F$6),3),COLUMN(H$6))))),indirect(ADDRESS(ROW($F$6)+quotient(ROW()-ROW($F$6),3),COLUMN(H$6))),"")</f>
        <v>Prépa 35</v>
      </c>
      <c r="O9" s="98">
        <f t="shared" si="4"/>
        <v>6</v>
      </c>
      <c r="P9" s="60" t="str">
        <f t="array" ref="P9">IF(NOT(O9=""),IF(SUMPRODUCT('Trinômes'!$B$2:$B$48=O9,'Trinômes'!$C$2:$C$48=J9)&gt;0,indirect("Trinômes!"&amp;ADDRESS(SUMPRODUCT('Trinômes'!$B$2:$B$48=O9,'Trinômes'!$C$2:$C$48=J9,ROW('Trinômes'!$A$2:$A$48)),1)),""),"")</f>
        <v>DESCOLLONGES Eric</v>
      </c>
      <c r="Q9" s="60" t="str">
        <f t="array" ref="Q9">if(ISNUMBER(#REF!),indirect("Trinômes!"&amp;address(sumproduct('Trinômes'!$B$2:$B$48=#REF!,'Trinômes'!$C$2:$C$48=column(Q$6)-COLUMN($P$6)+1,ROW('Trinômes'!$A$2:$A$48)-row('Trinômes'!$A$2)+1)+1,column('Trinômes'!$A$1))),"")</f>
        <v/>
      </c>
      <c r="R9" s="60" t="str">
        <f t="array" ref="R9">if(ISNUMBER(#REF!),indirect("Trinômes!"&amp;address(sumproduct('Trinômes'!$B$2:$B$48=#REF!,'Trinômes'!$C$2:$C$48=column(R$6)-COLUMN($P$6)+1,ROW('Trinômes'!$A$2:$A$48)-row('Trinômes'!$A$2)+1)+1,column('Trinômes'!$A$1))),"")</f>
        <v/>
      </c>
      <c r="S9" s="16"/>
      <c r="T9" s="3"/>
      <c r="U9" s="5"/>
      <c r="V9" s="5"/>
      <c r="W9" s="100"/>
      <c r="X9" s="101"/>
    </row>
    <row r="10">
      <c r="A10" s="82" t="str">
        <f>IF(SUMPRODUCT('Créneaux'!$I$2:$I$39=$M$1,'Créneaux'!$K$2:$K$39=$M$2)&gt;0,switch($M$1,'Créneaux'!$I$2,'Créneaux'!H6,'Créneaux'!$I$10,'Créneaux'!H14,'Créneaux'!$I$18,'Créneaux'!H22,'Créneaux'!$I$26,'Créneaux'!H30,'Créneaux'!$I$34,'Créneaux'!H38,'Créneaux'!$I$38,'Créneaux'!H42),"")</f>
        <v/>
      </c>
      <c r="B10" s="84" t="str">
        <f>IF(ISNUMBER($E10),switch($M$1,"Mathématiques",$M$3+VLOOKUP($A10,'Créneaux'!$J$2:$N$9,COLUMN('Créneaux'!L$1)-COLUMN('Créneaux'!$J$1)+1,0),"Anglais",$M$3+VLOOKUP($A10,'Créneaux'!$J$10:$N$17,COLUMN('Créneaux'!L$1)-COLUMN('Créneaux'!$J$1)+1,0),"Physique",$M$3+VLOOKUP($A10,'Créneaux'!$J$18:$N$25,COLUMN('Créneaux'!L$1)-COLUMN('Créneaux'!$J$1)+1,0),"Chimie",$M$3+VLOOKUP($A10,'Créneaux'!$J$26:$N$33,COLUMN('Créneaux'!L$1)-COLUMN('Créneaux'!$J$1)+1,0),"SI",$M$3+VLOOKUP($A10,'Créneaux'!$J$34:$N$37,COLUMN('Créneaux'!L$1)-COLUMN('Créneaux'!$J$1)+1,0),"Français",$M$3+VLOOKUP($A10,'Créneaux'!$J$38:$N$39,COLUMN('Créneaux'!L$1)-COLUMN('Créneaux'!$J$1)+1,0)),"")</f>
        <v/>
      </c>
      <c r="C10" s="82" t="str">
        <f>IF(ISNUMBER($E10),switch($M$1,"Mathématiques",VLOOKUP($A10,'Créneaux'!$J$2:$N$9,COLUMN('Créneaux'!M$1)-COLUMN('Créneaux'!$J$1)+1,0),"Anglais",VLOOKUP($A10,'Créneaux'!$J$10:$N$17,COLUMN('Créneaux'!M$1)-COLUMN('Créneaux'!$J$1)+1,0),"Physique",VLOOKUP($A10,'Créneaux'!$J$18:$N$25,COLUMN('Créneaux'!M$1)-COLUMN('Créneaux'!$J$1)+1,0),"Chimie",VLOOKUP($A10,'Créneaux'!$J$26:$N$33,COLUMN('Créneaux'!M$1)-COLUMN('Créneaux'!$J$1)+1,0),"SI",VLOOKUP($A10,'Créneaux'!$J$34:$N$37,COLUMN('Créneaux'!M$1)-COLUMN('Créneaux'!$J$1)+1,0),"Français",VLOOKUP($A10,'Créneaux'!$J$38:$N$39,COLUMN('Créneaux'!M$1)-COLUMN('Créneaux'!$J$1)+1,0)),"")</f>
        <v/>
      </c>
      <c r="D10" s="82" t="str">
        <f>IF(ISNUMBER($E10),switch($M$1,"Mathématiques",VLOOKUP($A10,'Créneaux'!$J$2:$N$9,COLUMN('Créneaux'!N$1)-COLUMN('Créneaux'!$J$1)+1,0),"Anglais",VLOOKUP($A10,'Créneaux'!$J$10:$N$17,COLUMN('Créneaux'!N$1)-COLUMN('Créneaux'!$J$1)+1,0),"Physique",VLOOKUP($A10,'Créneaux'!$J$18:$N$25,COLUMN('Créneaux'!N$1)-COLUMN('Créneaux'!$J$1)+1,0),"Chimie",VLOOKUP($A10,'Créneaux'!$J$26:$N$33,COLUMN('Créneaux'!N$1)-COLUMN('Créneaux'!$J$1)+1,0),"SI",VLOOKUP($A10,'Créneaux'!$J$34:$N$37,COLUMN('Créneaux'!N$1)-COLUMN('Créneaux'!$J$1)+1,0),"Français",VLOOKUP($A10,'Créneaux'!$J$38:$N$39,COLUMN('Créneaux'!N$1)-COLUMN('Créneaux'!$J$1)+1,0)),"")</f>
        <v/>
      </c>
      <c r="E10" s="60" t="str">
        <f>IF(ISNUMBER($A10),switch($M$1,"Mathématiques",VLOOKUP($A10,Colloscope!$B$19:$W$26,MATCH($B$3,Colloscope!$B$1:$W$1),0),"Anglais",VLOOKUP($A10,Colloscope!$B$28:$W$35,MATCH($B$3,Colloscope!$B$1:$W$1),0),"Physique",VLOOKUP($A10,Colloscope!$B$42:$W$49,MATCH($B$3,Colloscope!$B$1:$W$1),0),"Chimie",VLOOKUP($A10,Colloscope!$B$51:$W$58,MATCH($B$3,Colloscope!$B$1:$W$1),0),"SI",VLOOKUP($A10,Colloscope!$B$37:$W$40,MATCH($B$3,Colloscope!$B$1:$W$1),0),"Français",VLOOKUP($A10,Colloscope!$B$60:$W$61,MATCH($B$3,Colloscope!$B$1:$W$1),0)),"")</f>
        <v/>
      </c>
      <c r="F10" s="84" t="s">
        <v>45</v>
      </c>
      <c r="G10" s="82" t="s">
        <v>45</v>
      </c>
      <c r="H10" s="84" t="s">
        <v>45</v>
      </c>
      <c r="I10" s="82" t="s">
        <v>45</v>
      </c>
      <c r="J10" s="82">
        <f t="shared" si="2"/>
        <v>2</v>
      </c>
      <c r="K10" s="84"/>
      <c r="L10" s="84" t="str">
        <f>IF(ISNUMBER(#REF!),switch($M$1,"Mathématiques",$M$3+Vlookup(#REF!,'Créneaux'!$J$2:$N$9,column('Créneaux'!L$1)-column('Créneaux'!$J$1)+1,0),"Anglais",$M$3+Vlookup(#REF!,'Créneaux'!$J$10:$N$17,column('Créneaux'!L$1)-column('Créneaux'!$J$1)+1,0),"Physique",$M$3+Vlookup(#REF!,'Créneaux'!$J$18:$N$25,column('Créneaux'!L$1)-column('Créneaux'!$J$1)+1,0),"Chimie",$M$3+Vlookup(#REF!,'Créneaux'!$J$26:$N$33,column('Créneaux'!L$1)-column('Créneaux'!$J$1)+1,0),"SI",$M$3+Vlookup(#REF!,'Créneaux'!$J$34:$N$37,column('Créneaux'!L$1)-column('Créneaux'!$J$1)+1,0),"Français",$M$3+Vlookup(#REF!,'Créneaux'!$J$38:$N$39,column('Créneaux'!L$1)-column('Créneaux'!$J$1)+1,0)),"")</f>
        <v/>
      </c>
      <c r="M10" s="98" t="str">
        <f>IF(ISNUMBER(#REF!),switch($M$1,"Mathématiques",Vlookup(#REF!,'Créneaux'!$J$2:$N$9,column('Créneaux'!M$1)-column('Créneaux'!$J$1)+1,0)&amp;"h","Anglais",Vlookup(#REF!,'Créneaux'!$J$10:$N$17,column('Créneaux'!M$1)-column('Créneaux'!$J$1)+1,0)&amp;"h","Physique",Vlookup(#REF!,'Créneaux'!$J$18:$N$25,column('Créneaux'!M$1)-column('Créneaux'!$J$1)+1,0)&amp;"h","Chimie",Vlookup(#REF!,'Créneaux'!$J$26:$N$33,column('Créneaux'!M$1)-column('Créneaux'!$J$1)+1,0)&amp;"h","SI",Vlookup(#REF!,'Créneaux'!$J$34:$N$37,column('Créneaux'!M$1)-column('Créneaux'!$J$1)+1,0)&amp;"h","Français",Vlookup(#REF!,'Créneaux'!$J$38:$N$39,column('Créneaux'!M$1)-column('Créneaux'!$J$1)+1,0)&amp;"h"),"")</f>
        <v/>
      </c>
      <c r="N10" s="98"/>
      <c r="O10" s="98" t="str">
        <f t="shared" ref="O10:O11" si="5">if(isnumber(#REF!),"Trinôme ","")</f>
        <v/>
      </c>
      <c r="P10" s="60" t="str">
        <f t="array" ref="P10">IF(NOT(O9=""),IF(SUMPRODUCT('Trinômes'!$B$2:$B$48=O9,'Trinômes'!$C$2:$C$48=J10)&gt;0,indirect("Trinômes!"&amp;ADDRESS(SUMPRODUCT('Trinômes'!$B$2:$B$48=O9,'Trinômes'!$C$2:$C$48=J10,ROW('Trinômes'!$A$2:$A$48)),1)),""),"")</f>
        <v>DESPRES Jeanne</v>
      </c>
      <c r="Q10" s="60" t="str">
        <f t="array" ref="Q10">if(ISNUMBER(#REF!),indirect("Trinômes!"&amp;address(sumproduct('Trinômes'!$B$2:$B$48=#REF!,'Trinômes'!$C$2:$C$48=column(Q$6)-COLUMN($P$6)+1,ROW('Trinômes'!$A$2:$A$48)-row('Trinômes'!$A$2)+1)+1,column('Trinômes'!$A$1))),"")</f>
        <v/>
      </c>
      <c r="R10" s="60" t="str">
        <f t="array" ref="R10">if(ISNUMBER(#REF!),indirect("Trinômes!"&amp;address(sumproduct('Trinômes'!$B$2:$B$48=#REF!,'Trinômes'!$C$2:$C$48=column(R$6)-COLUMN($P$6)+1,ROW('Trinômes'!$A$2:$A$48)-row('Trinômes'!$A$2)+1)+1,column('Trinômes'!$A$1))),"")</f>
        <v/>
      </c>
      <c r="S10" s="16"/>
      <c r="T10" s="16"/>
      <c r="U10" s="71"/>
      <c r="V10" s="18"/>
      <c r="W10" s="18"/>
      <c r="X10" s="18"/>
    </row>
    <row r="11">
      <c r="A11" s="82" t="str">
        <f>IF(SUMPRODUCT('Créneaux'!$I$2:$I$39=$M$1,'Créneaux'!$K$2:$K$39=$M$2)&gt;0,switch($M$1,'Créneaux'!$I$2,'Créneaux'!H7,'Créneaux'!$I$10,'Créneaux'!H15,'Créneaux'!$I$18,'Créneaux'!H23,'Créneaux'!$I$26,'Créneaux'!H31,'Créneaux'!$I$34,'Créneaux'!H39,'Créneaux'!$I$38,'Créneaux'!H43),"")</f>
        <v/>
      </c>
      <c r="B11" s="84" t="str">
        <f>IF(ISNUMBER($E11),switch($M$1,"Mathématiques",$M$3+VLOOKUP($A11,'Créneaux'!$J$2:$N$9,COLUMN('Créneaux'!L$1)-COLUMN('Créneaux'!$J$1)+1,0),"Anglais",$M$3+VLOOKUP($A11,'Créneaux'!$J$10:$N$17,COLUMN('Créneaux'!L$1)-COLUMN('Créneaux'!$J$1)+1,0),"Physique",$M$3+VLOOKUP($A11,'Créneaux'!$J$18:$N$25,COLUMN('Créneaux'!L$1)-COLUMN('Créneaux'!$J$1)+1,0),"Chimie",$M$3+VLOOKUP($A11,'Créneaux'!$J$26:$N$33,COLUMN('Créneaux'!L$1)-COLUMN('Créneaux'!$J$1)+1,0),"SI",$M$3+VLOOKUP($A11,'Créneaux'!$J$34:$N$37,COLUMN('Créneaux'!L$1)-COLUMN('Créneaux'!$J$1)+1,0),"Français",$M$3+VLOOKUP($A11,'Créneaux'!$J$38:$N$39,COLUMN('Créneaux'!L$1)-COLUMN('Créneaux'!$J$1)+1,0)),"")</f>
        <v/>
      </c>
      <c r="C11" s="82" t="str">
        <f>IF(ISNUMBER($E11),switch($M$1,"Mathématiques",VLOOKUP($A11,'Créneaux'!$J$2:$N$9,COLUMN('Créneaux'!M$1)-COLUMN('Créneaux'!$J$1)+1,0),"Anglais",VLOOKUP($A11,'Créneaux'!$J$10:$N$17,COLUMN('Créneaux'!M$1)-COLUMN('Créneaux'!$J$1)+1,0),"Physique",VLOOKUP($A11,'Créneaux'!$J$18:$N$25,COLUMN('Créneaux'!M$1)-COLUMN('Créneaux'!$J$1)+1,0),"Chimie",VLOOKUP($A11,'Créneaux'!$J$26:$N$33,COLUMN('Créneaux'!M$1)-COLUMN('Créneaux'!$J$1)+1,0),"SI",VLOOKUP($A11,'Créneaux'!$J$34:$N$37,COLUMN('Créneaux'!M$1)-COLUMN('Créneaux'!$J$1)+1,0),"Français",VLOOKUP($A11,'Créneaux'!$J$38:$N$39,COLUMN('Créneaux'!M$1)-COLUMN('Créneaux'!$J$1)+1,0)),"")</f>
        <v/>
      </c>
      <c r="D11" s="82" t="str">
        <f>IF(ISNUMBER($E11),switch($M$1,"Mathématiques",VLOOKUP($A11,'Créneaux'!$J$2:$N$9,COLUMN('Créneaux'!N$1)-COLUMN('Créneaux'!$J$1)+1,0),"Anglais",VLOOKUP($A11,'Créneaux'!$J$10:$N$17,COLUMN('Créneaux'!N$1)-COLUMN('Créneaux'!$J$1)+1,0),"Physique",VLOOKUP($A11,'Créneaux'!$J$18:$N$25,COLUMN('Créneaux'!N$1)-COLUMN('Créneaux'!$J$1)+1,0),"Chimie",VLOOKUP($A11,'Créneaux'!$J$26:$N$33,COLUMN('Créneaux'!N$1)-COLUMN('Créneaux'!$J$1)+1,0),"SI",VLOOKUP($A11,'Créneaux'!$J$34:$N$37,COLUMN('Créneaux'!N$1)-COLUMN('Créneaux'!$J$1)+1,0),"Français",VLOOKUP($A11,'Créneaux'!$J$38:$N$39,COLUMN('Créneaux'!N$1)-COLUMN('Créneaux'!$J$1)+1,0)),"")</f>
        <v/>
      </c>
      <c r="E11" s="60" t="str">
        <f>IF(ISNUMBER($A11),switch($M$1,"Mathématiques",VLOOKUP($A11,Colloscope!$B$19:$W$26,MATCH($B$3,Colloscope!$B$1:$W$1),0),"Anglais",VLOOKUP($A11,Colloscope!$B$28:$W$35,MATCH($B$3,Colloscope!$B$1:$W$1),0),"Physique",VLOOKUP($A11,Colloscope!$B$42:$W$49,MATCH($B$3,Colloscope!$B$1:$W$1),0),"Chimie",VLOOKUP($A11,Colloscope!$B$51:$W$58,MATCH($B$3,Colloscope!$B$1:$W$1),0),"SI",VLOOKUP($A11,Colloscope!$B$37:$W$40,MATCH($B$3,Colloscope!$B$1:$W$1),0),"Français",VLOOKUP($A11,Colloscope!$B$60:$W$61,MATCH($B$3,Colloscope!$B$1:$W$1),0)),"")</f>
        <v/>
      </c>
      <c r="F11" s="84" t="s">
        <v>45</v>
      </c>
      <c r="G11" s="82" t="s">
        <v>45</v>
      </c>
      <c r="H11" s="84" t="s">
        <v>45</v>
      </c>
      <c r="I11" s="82" t="s">
        <v>45</v>
      </c>
      <c r="J11" s="82">
        <f t="shared" si="2"/>
        <v>3</v>
      </c>
      <c r="K11" s="84"/>
      <c r="L11" s="84" t="str">
        <f>IF(ISNUMBER(#REF!),switch($M$1,"Mathématiques",$M$3+Vlookup(#REF!,'Créneaux'!$J$2:$N$9,column('Créneaux'!L$1)-column('Créneaux'!$J$1)+1,0),"Anglais",$M$3+Vlookup(#REF!,'Créneaux'!$J$10:$N$17,column('Créneaux'!L$1)-column('Créneaux'!$J$1)+1,0),"Physique",$M$3+Vlookup(#REF!,'Créneaux'!$J$18:$N$25,column('Créneaux'!L$1)-column('Créneaux'!$J$1)+1,0),"Chimie",$M$3+Vlookup(#REF!,'Créneaux'!$J$26:$N$33,column('Créneaux'!L$1)-column('Créneaux'!$J$1)+1,0),"SI",$M$3+Vlookup(#REF!,'Créneaux'!$J$34:$N$37,column('Créneaux'!L$1)-column('Créneaux'!$J$1)+1,0),"Français",$M$3+Vlookup(#REF!,'Créneaux'!$J$38:$N$39,column('Créneaux'!L$1)-column('Créneaux'!$J$1)+1,0)),"")</f>
        <v/>
      </c>
      <c r="M11" s="98" t="str">
        <f>IF(ISNUMBER(#REF!),switch($M$1,"Mathématiques",Vlookup(#REF!,'Créneaux'!$J$2:$N$9,column('Créneaux'!M$1)-column('Créneaux'!$J$1)+1,0)&amp;"h","Anglais",Vlookup(#REF!,'Créneaux'!$J$10:$N$17,column('Créneaux'!M$1)-column('Créneaux'!$J$1)+1,0)&amp;"h","Physique",Vlookup(#REF!,'Créneaux'!$J$18:$N$25,column('Créneaux'!M$1)-column('Créneaux'!$J$1)+1,0)&amp;"h","Chimie",Vlookup(#REF!,'Créneaux'!$J$26:$N$33,column('Créneaux'!M$1)-column('Créneaux'!$J$1)+1,0)&amp;"h","SI",Vlookup(#REF!,'Créneaux'!$J$34:$N$37,column('Créneaux'!M$1)-column('Créneaux'!$J$1)+1,0)&amp;"h","Français",Vlookup(#REF!,'Créneaux'!$J$38:$N$39,column('Créneaux'!M$1)-column('Créneaux'!$J$1)+1,0)&amp;"h"),"")</f>
        <v/>
      </c>
      <c r="N11" s="98"/>
      <c r="O11" s="98" t="str">
        <f t="shared" si="5"/>
        <v/>
      </c>
      <c r="P11" s="60" t="str">
        <f t="array" ref="P11">IF(NOT(O9=""),IF(SUMPRODUCT('Trinômes'!$B$2:$B$48=O9,'Trinômes'!$C$2:$C$48=J11)&gt;0,indirect("Trinômes!"&amp;ADDRESS(SUMPRODUCT('Trinômes'!$B$2:$B$48=O9,'Trinômes'!$C$2:$C$48=J11,ROW('Trinômes'!$A$2:$A$48)),1)),""),"")</f>
        <v>DORLEANS Louis</v>
      </c>
      <c r="Q11" s="60" t="str">
        <f t="array" ref="Q11">if(ISNUMBER(#REF!),indirect("Trinômes!"&amp;address(sumproduct('Trinômes'!$B$2:$B$48=#REF!,'Trinômes'!$C$2:$C$48=column(Q$6)-COLUMN($P$6)+1,ROW('Trinômes'!$A$2:$A$48)-row('Trinômes'!$A$2)+1)+1,column('Trinômes'!$A$1))),"")</f>
        <v/>
      </c>
      <c r="R11" s="60" t="str">
        <f t="array" ref="R11">if(ISNUMBER(#REF!),indirect("Trinômes!"&amp;address(sumproduct('Trinômes'!$B$2:$B$48=#REF!,'Trinômes'!$C$2:$C$48=column(R$6)-COLUMN($P$6)+1,ROW('Trinômes'!$A$2:$A$48)-row('Trinômes'!$A$2)+1)+1,column('Trinômes'!$A$1))),"")</f>
        <v/>
      </c>
      <c r="S11" s="16"/>
      <c r="T11" s="16"/>
      <c r="U11" s="71"/>
      <c r="V11" s="18"/>
      <c r="W11" s="18"/>
      <c r="X11" s="18"/>
    </row>
    <row r="12">
      <c r="A12" s="82" t="str">
        <f>IF(SUMPRODUCT('Créneaux'!$I$2:$I$39=$M$1,'Créneaux'!$K$2:$K$39=$M$2)&gt;0,switch($M$1,'Créneaux'!$I$2,'Créneaux'!H8,'Créneaux'!$I$10,'Créneaux'!H16,'Créneaux'!$I$18,'Créneaux'!H24,'Créneaux'!$I$26,'Créneaux'!H32,'Créneaux'!$I$34,'Créneaux'!H40,'Créneaux'!$I$38,'Créneaux'!H44),"")</f>
        <v/>
      </c>
      <c r="B12" s="84" t="str">
        <f>IF(ISNUMBER($E12),switch($M$1,"Mathématiques",$M$3+VLOOKUP($A12,'Créneaux'!$J$2:$N$9,COLUMN('Créneaux'!L$1)-COLUMN('Créneaux'!$J$1)+1,0),"Anglais",$M$3+VLOOKUP($A12,'Créneaux'!$J$10:$N$17,COLUMN('Créneaux'!L$1)-COLUMN('Créneaux'!$J$1)+1,0),"Physique",$M$3+VLOOKUP($A12,'Créneaux'!$J$18:$N$25,COLUMN('Créneaux'!L$1)-COLUMN('Créneaux'!$J$1)+1,0),"Chimie",$M$3+VLOOKUP($A12,'Créneaux'!$J$26:$N$33,COLUMN('Créneaux'!L$1)-COLUMN('Créneaux'!$J$1)+1,0),"SI",$M$3+VLOOKUP($A12,'Créneaux'!$J$34:$N$37,COLUMN('Créneaux'!L$1)-COLUMN('Créneaux'!$J$1)+1,0),"Français",$M$3+VLOOKUP($A12,'Créneaux'!$J$38:$N$39,COLUMN('Créneaux'!L$1)-COLUMN('Créneaux'!$J$1)+1,0)),"")</f>
        <v/>
      </c>
      <c r="C12" s="82" t="str">
        <f>IF(ISNUMBER($E12),switch($M$1,"Mathématiques",VLOOKUP($A12,'Créneaux'!$J$2:$N$9,COLUMN('Créneaux'!M$1)-COLUMN('Créneaux'!$J$1)+1,0),"Anglais",VLOOKUP($A12,'Créneaux'!$J$10:$N$17,COLUMN('Créneaux'!M$1)-COLUMN('Créneaux'!$J$1)+1,0),"Physique",VLOOKUP($A12,'Créneaux'!$J$18:$N$25,COLUMN('Créneaux'!M$1)-COLUMN('Créneaux'!$J$1)+1,0),"Chimie",VLOOKUP($A12,'Créneaux'!$J$26:$N$33,COLUMN('Créneaux'!M$1)-COLUMN('Créneaux'!$J$1)+1,0),"SI",VLOOKUP($A12,'Créneaux'!$J$34:$N$37,COLUMN('Créneaux'!M$1)-COLUMN('Créneaux'!$J$1)+1,0),"Français",VLOOKUP($A12,'Créneaux'!$J$38:$N$39,COLUMN('Créneaux'!M$1)-COLUMN('Créneaux'!$J$1)+1,0)),"")</f>
        <v/>
      </c>
      <c r="D12" s="82" t="str">
        <f>IF(ISNUMBER($E12),switch($M$1,"Mathématiques",VLOOKUP($A12,'Créneaux'!$J$2:$N$9,COLUMN('Créneaux'!N$1)-COLUMN('Créneaux'!$J$1)+1,0),"Anglais",VLOOKUP($A12,'Créneaux'!$J$10:$N$17,COLUMN('Créneaux'!N$1)-COLUMN('Créneaux'!$J$1)+1,0),"Physique",VLOOKUP($A12,'Créneaux'!$J$18:$N$25,COLUMN('Créneaux'!N$1)-COLUMN('Créneaux'!$J$1)+1,0),"Chimie",VLOOKUP($A12,'Créneaux'!$J$26:$N$33,COLUMN('Créneaux'!N$1)-COLUMN('Créneaux'!$J$1)+1,0),"SI",VLOOKUP($A12,'Créneaux'!$J$34:$N$37,COLUMN('Créneaux'!N$1)-COLUMN('Créneaux'!$J$1)+1,0),"Français",VLOOKUP($A12,'Créneaux'!$J$38:$N$39,COLUMN('Créneaux'!N$1)-COLUMN('Créneaux'!$J$1)+1,0)),"")</f>
        <v/>
      </c>
      <c r="E12" s="60" t="str">
        <f>IF(ISNUMBER($A12),switch($M$1,"Mathématiques",VLOOKUP($A12,Colloscope!$B$19:$W$26,MATCH($B$3,Colloscope!$B$1:$W$1),0),"Anglais",VLOOKUP($A12,Colloscope!$B$28:$W$35,MATCH($B$3,Colloscope!$B$1:$W$1),0),"Physique",VLOOKUP($A12,Colloscope!$B$42:$W$49,MATCH($B$3,Colloscope!$B$1:$W$1),0),"Chimie",VLOOKUP($A12,Colloscope!$B$51:$W$58,MATCH($B$3,Colloscope!$B$1:$W$1),0),"SI",VLOOKUP($A12,Colloscope!$B$37:$W$40,MATCH($B$3,Colloscope!$B$1:$W$1),0),"Français",VLOOKUP($A12,Colloscope!$B$60:$W$61,MATCH($B$3,Colloscope!$B$1:$W$1),0)),"")</f>
        <v/>
      </c>
      <c r="F12" s="84" t="s">
        <v>45</v>
      </c>
      <c r="G12" s="82" t="s">
        <v>45</v>
      </c>
      <c r="H12" s="84" t="s">
        <v>45</v>
      </c>
      <c r="I12" s="82" t="s">
        <v>45</v>
      </c>
      <c r="J12" s="82"/>
      <c r="K12" s="84"/>
      <c r="L12" s="84"/>
      <c r="M12" s="98"/>
      <c r="N12" s="98"/>
      <c r="O12" s="98"/>
      <c r="R12" s="60" t="str">
        <f t="array" ref="R12">if(ISNUMBER(#REF!),indirect("Trinômes!"&amp;address(sumproduct('Trinômes'!$B$2:$B$48=#REF!,'Trinômes'!$C$2:$C$48=column(R$6)-COLUMN($P$6)+1,ROW('Trinômes'!$A$2:$A$48)-row('Trinômes'!$A$2)+1)+1,column('Trinômes'!$A$1))),"")</f>
        <v/>
      </c>
      <c r="S12" s="16"/>
      <c r="T12" s="16"/>
      <c r="U12" s="71"/>
      <c r="V12" s="18"/>
      <c r="W12" s="18"/>
      <c r="X12" s="18"/>
    </row>
    <row r="13">
      <c r="A13" s="82" t="str">
        <f>IF(SUMPRODUCT('Créneaux'!$I$2:$I$39=$M$1,'Créneaux'!$K$2:$K$39=$M$2)&gt;0,switch($M$1,'Créneaux'!$I$2,'Créneaux'!H9,'Créneaux'!$I$10,'Créneaux'!H17,'Créneaux'!$I$18,'Créneaux'!H25,'Créneaux'!$I$26,'Créneaux'!H33,'Créneaux'!$I$34,'Créneaux'!H41,'Créneaux'!$I$38,'Créneaux'!H45),"")</f>
        <v/>
      </c>
      <c r="B13" s="84" t="str">
        <f>IF(ISNUMBER($E13),switch($M$1,"Mathématiques",$M$3+VLOOKUP($A13,'Créneaux'!$J$2:$N$9,COLUMN('Créneaux'!L$1)-COLUMN('Créneaux'!$J$1)+1,0),"Anglais",$M$3+VLOOKUP($A13,'Créneaux'!$J$10:$N$17,COLUMN('Créneaux'!L$1)-COLUMN('Créneaux'!$J$1)+1,0),"Physique",$M$3+VLOOKUP($A13,'Créneaux'!$J$18:$N$25,COLUMN('Créneaux'!L$1)-COLUMN('Créneaux'!$J$1)+1,0),"Chimie",$M$3+VLOOKUP($A13,'Créneaux'!$J$26:$N$33,COLUMN('Créneaux'!L$1)-COLUMN('Créneaux'!$J$1)+1,0),"SI",$M$3+VLOOKUP($A13,'Créneaux'!$J$34:$N$37,COLUMN('Créneaux'!L$1)-COLUMN('Créneaux'!$J$1)+1,0),"Français",$M$3+VLOOKUP($A13,'Créneaux'!$J$38:$N$39,COLUMN('Créneaux'!L$1)-COLUMN('Créneaux'!$J$1)+1,0)),"")</f>
        <v/>
      </c>
      <c r="C13" s="82" t="str">
        <f>IF(ISNUMBER($E13),switch($M$1,"Mathématiques",VLOOKUP($A13,'Créneaux'!$J$2:$N$9,COLUMN('Créneaux'!M$1)-COLUMN('Créneaux'!$J$1)+1,0),"Anglais",VLOOKUP($A13,'Créneaux'!$J$10:$N$17,COLUMN('Créneaux'!M$1)-COLUMN('Créneaux'!$J$1)+1,0),"Physique",VLOOKUP($A13,'Créneaux'!$J$18:$N$25,COLUMN('Créneaux'!M$1)-COLUMN('Créneaux'!$J$1)+1,0),"Chimie",VLOOKUP($A13,'Créneaux'!$J$26:$N$33,COLUMN('Créneaux'!M$1)-COLUMN('Créneaux'!$J$1)+1,0),"SI",VLOOKUP($A13,'Créneaux'!$J$34:$N$37,COLUMN('Créneaux'!M$1)-COLUMN('Créneaux'!$J$1)+1,0),"Français",VLOOKUP($A13,'Créneaux'!$J$38:$N$39,COLUMN('Créneaux'!M$1)-COLUMN('Créneaux'!$J$1)+1,0)),"")</f>
        <v/>
      </c>
      <c r="D13" s="82" t="str">
        <f>IF(ISNUMBER($E13),switch($M$1,"Mathématiques",VLOOKUP($A13,'Créneaux'!$J$2:$N$9,COLUMN('Créneaux'!N$1)-COLUMN('Créneaux'!$J$1)+1,0),"Anglais",VLOOKUP($A13,'Créneaux'!$J$10:$N$17,COLUMN('Créneaux'!N$1)-COLUMN('Créneaux'!$J$1)+1,0),"Physique",VLOOKUP($A13,'Créneaux'!$J$18:$N$25,COLUMN('Créneaux'!N$1)-COLUMN('Créneaux'!$J$1)+1,0),"Chimie",VLOOKUP($A13,'Créneaux'!$J$26:$N$33,COLUMN('Créneaux'!N$1)-COLUMN('Créneaux'!$J$1)+1,0),"SI",VLOOKUP($A13,'Créneaux'!$J$34:$N$37,COLUMN('Créneaux'!N$1)-COLUMN('Créneaux'!$J$1)+1,0),"Français",VLOOKUP($A13,'Créneaux'!$J$38:$N$39,COLUMN('Créneaux'!N$1)-COLUMN('Créneaux'!$J$1)+1,0)),"")</f>
        <v/>
      </c>
      <c r="E13" s="60" t="str">
        <f>IF(ISNUMBER($A13),switch($M$1,"Mathématiques",VLOOKUP($A13,Colloscope!$B$19:$W$26,MATCH($B$3,Colloscope!$B$1:$W$1),0),"Anglais",VLOOKUP($A13,Colloscope!$B$28:$W$35,MATCH($B$3,Colloscope!$B$1:$W$1),0),"Physique",VLOOKUP($A13,Colloscope!$B$42:$W$49,MATCH($B$3,Colloscope!$B$1:$W$1),0),"Chimie",VLOOKUP($A13,Colloscope!$B$51:$W$58,MATCH($B$3,Colloscope!$B$1:$W$1),0),"SI",VLOOKUP($A13,Colloscope!$B$37:$W$40,MATCH($B$3,Colloscope!$B$1:$W$1),0),"Français",VLOOKUP($A13,Colloscope!$B$60:$W$61,MATCH($B$3,Colloscope!$B$1:$W$1),0)),"")</f>
        <v/>
      </c>
      <c r="F13" s="84" t="s">
        <v>45</v>
      </c>
      <c r="G13" s="82" t="s">
        <v>45</v>
      </c>
      <c r="H13" s="84" t="s">
        <v>45</v>
      </c>
      <c r="I13" s="82" t="s">
        <v>45</v>
      </c>
      <c r="J13" s="82"/>
      <c r="K13" s="84"/>
      <c r="L13" s="84"/>
      <c r="M13" s="98"/>
      <c r="N13" s="98"/>
      <c r="O13" s="98"/>
      <c r="R13" s="60" t="str">
        <f t="array" ref="R13">if(ISNUMBER(#REF!),indirect("Trinômes!"&amp;address(sumproduct('Trinômes'!$B$2:$B$48=#REF!,'Trinômes'!$C$2:$C$48=column(R$6)-COLUMN($P$6)+1,ROW('Trinômes'!$A$2:$A$48)-row('Trinômes'!$A$2)+1)+1,column('Trinômes'!$A$1))),"")</f>
        <v/>
      </c>
      <c r="S13" s="16"/>
      <c r="T13" s="16"/>
      <c r="U13" s="71"/>
      <c r="V13" s="18"/>
      <c r="W13" s="18"/>
      <c r="X13" s="18"/>
    </row>
    <row r="14">
      <c r="G14" s="82"/>
      <c r="I14" s="82"/>
      <c r="J14" s="82"/>
      <c r="M14" s="98"/>
      <c r="N14" s="98"/>
      <c r="O14" s="98"/>
      <c r="P14" s="16"/>
      <c r="Q14" s="16"/>
      <c r="R14" s="71"/>
      <c r="S14" s="18"/>
      <c r="T14" s="18"/>
      <c r="U14" s="18"/>
    </row>
    <row r="15">
      <c r="G15" s="82"/>
      <c r="I15" s="82"/>
      <c r="J15" s="82"/>
      <c r="M15" s="98"/>
      <c r="N15" s="98"/>
      <c r="O15" s="98"/>
      <c r="Q15" s="16"/>
      <c r="R15" s="71"/>
      <c r="S15" s="18"/>
      <c r="T15" s="18"/>
    </row>
    <row r="16">
      <c r="G16" s="82"/>
      <c r="I16" s="82"/>
      <c r="J16" s="82"/>
      <c r="M16" s="1"/>
      <c r="N16" s="82"/>
      <c r="O16" s="1"/>
    </row>
    <row r="17">
      <c r="G17" s="82"/>
      <c r="I17" s="82"/>
      <c r="J17" s="82"/>
      <c r="M17" s="1"/>
      <c r="O17" s="1"/>
    </row>
    <row r="18">
      <c r="G18" s="82"/>
      <c r="I18" s="82"/>
      <c r="J18" s="82"/>
      <c r="M18" s="1"/>
      <c r="O18" s="1"/>
    </row>
    <row r="19">
      <c r="G19" s="82"/>
      <c r="I19" s="82"/>
      <c r="J19" s="82"/>
      <c r="M19" s="1"/>
      <c r="O19" s="1"/>
    </row>
    <row r="20">
      <c r="G20" s="82"/>
      <c r="I20" s="82"/>
      <c r="J20" s="82"/>
      <c r="M20" s="1"/>
      <c r="O20" s="1"/>
    </row>
    <row r="21">
      <c r="G21" s="82"/>
      <c r="I21" s="82"/>
      <c r="J21" s="82"/>
      <c r="M21" s="1"/>
      <c r="O21" s="1"/>
    </row>
    <row r="22">
      <c r="G22" s="82"/>
      <c r="I22" s="82"/>
      <c r="J22" s="82"/>
      <c r="M22" s="1"/>
      <c r="O22" s="1"/>
    </row>
    <row r="23">
      <c r="G23" s="82"/>
      <c r="I23" s="82"/>
      <c r="J23" s="82"/>
      <c r="M23" s="1"/>
      <c r="O23" s="1"/>
    </row>
    <row r="24">
      <c r="G24" s="82"/>
      <c r="I24" s="82"/>
      <c r="J24" s="82"/>
      <c r="M24" s="1"/>
      <c r="O24" s="1"/>
    </row>
    <row r="25">
      <c r="G25" s="82"/>
      <c r="I25" s="82"/>
      <c r="J25" s="82"/>
      <c r="M25" s="1"/>
      <c r="O25" s="1"/>
    </row>
    <row r="26">
      <c r="G26" s="82"/>
      <c r="I26" s="82"/>
      <c r="J26" s="82"/>
      <c r="M26" s="1"/>
      <c r="O26" s="1"/>
    </row>
    <row r="27">
      <c r="G27" s="82"/>
      <c r="I27" s="82"/>
      <c r="J27" s="82"/>
      <c r="M27" s="1"/>
      <c r="O27" s="1"/>
    </row>
    <row r="28">
      <c r="G28" s="82"/>
      <c r="I28" s="82"/>
      <c r="J28" s="82"/>
      <c r="M28" s="1"/>
      <c r="O28" s="1"/>
    </row>
    <row r="29">
      <c r="G29" s="82"/>
      <c r="I29" s="82"/>
      <c r="J29" s="82"/>
      <c r="M29" s="1"/>
      <c r="O29" s="1"/>
    </row>
    <row r="30">
      <c r="G30" s="82"/>
      <c r="I30" s="82"/>
      <c r="J30" s="82"/>
      <c r="M30" s="1"/>
      <c r="O30" s="1"/>
    </row>
    <row r="31">
      <c r="G31" s="82"/>
      <c r="I31" s="82"/>
      <c r="J31" s="82"/>
      <c r="M31" s="1"/>
      <c r="O31" s="1"/>
    </row>
    <row r="32">
      <c r="G32" s="82"/>
      <c r="I32" s="82"/>
      <c r="J32" s="82"/>
      <c r="M32" s="1"/>
      <c r="O32" s="1"/>
    </row>
    <row r="33">
      <c r="G33" s="82"/>
      <c r="I33" s="82"/>
      <c r="J33" s="82"/>
      <c r="M33" s="1"/>
      <c r="O33" s="1"/>
    </row>
    <row r="34">
      <c r="G34" s="82"/>
      <c r="I34" s="82"/>
      <c r="J34" s="82"/>
      <c r="M34" s="1"/>
      <c r="O34" s="1"/>
    </row>
    <row r="35">
      <c r="G35" s="82"/>
      <c r="I35" s="82"/>
      <c r="J35" s="82"/>
      <c r="M35" s="1"/>
      <c r="O35" s="1"/>
    </row>
    <row r="36">
      <c r="G36" s="82"/>
      <c r="I36" s="82"/>
      <c r="J36" s="82"/>
      <c r="M36" s="1"/>
      <c r="O36" s="1"/>
    </row>
    <row r="37">
      <c r="G37" s="82"/>
      <c r="I37" s="82"/>
      <c r="J37" s="82"/>
      <c r="M37" s="1"/>
      <c r="O37" s="1"/>
    </row>
    <row r="38">
      <c r="G38" s="82"/>
      <c r="I38" s="82"/>
      <c r="J38" s="82"/>
      <c r="M38" s="1"/>
      <c r="O38" s="1"/>
    </row>
    <row r="39">
      <c r="G39" s="82"/>
      <c r="I39" s="82"/>
      <c r="J39" s="82"/>
      <c r="M39" s="1"/>
      <c r="O39" s="1"/>
    </row>
    <row r="40">
      <c r="G40" s="82"/>
      <c r="I40" s="82"/>
      <c r="J40" s="82"/>
      <c r="M40" s="1"/>
      <c r="O40" s="1"/>
    </row>
    <row r="41">
      <c r="G41" s="82"/>
      <c r="I41" s="82"/>
      <c r="J41" s="82"/>
      <c r="M41" s="1"/>
      <c r="O41" s="1"/>
    </row>
    <row r="42">
      <c r="G42" s="82"/>
      <c r="I42" s="82"/>
      <c r="J42" s="82"/>
      <c r="M42" s="1"/>
      <c r="O42" s="1"/>
    </row>
    <row r="43">
      <c r="G43" s="82"/>
      <c r="I43" s="82"/>
      <c r="J43" s="82"/>
      <c r="M43" s="1"/>
      <c r="O43" s="1"/>
    </row>
    <row r="44">
      <c r="G44" s="82"/>
      <c r="I44" s="82"/>
      <c r="J44" s="82"/>
      <c r="M44" s="1"/>
      <c r="O44" s="1"/>
    </row>
    <row r="45">
      <c r="G45" s="82"/>
      <c r="I45" s="82"/>
      <c r="J45" s="82"/>
      <c r="M45" s="1"/>
      <c r="O45" s="1"/>
    </row>
    <row r="46">
      <c r="G46" s="82"/>
      <c r="I46" s="82"/>
      <c r="J46" s="82"/>
      <c r="M46" s="1"/>
      <c r="O46" s="1"/>
    </row>
    <row r="47">
      <c r="G47" s="82"/>
      <c r="I47" s="82"/>
      <c r="J47" s="82"/>
      <c r="M47" s="1"/>
      <c r="O47" s="1"/>
    </row>
    <row r="48">
      <c r="G48" s="82"/>
      <c r="I48" s="82"/>
      <c r="J48" s="82"/>
      <c r="M48" s="1"/>
      <c r="O48" s="1"/>
    </row>
    <row r="49">
      <c r="G49" s="82"/>
      <c r="I49" s="82"/>
      <c r="J49" s="82"/>
      <c r="M49" s="1"/>
      <c r="O49" s="1"/>
    </row>
    <row r="50">
      <c r="G50" s="82"/>
      <c r="I50" s="82"/>
      <c r="J50" s="82"/>
      <c r="M50" s="1"/>
      <c r="O50" s="1"/>
    </row>
    <row r="51">
      <c r="G51" s="82"/>
      <c r="I51" s="82"/>
      <c r="J51" s="82"/>
      <c r="M51" s="1"/>
      <c r="O51" s="1"/>
    </row>
    <row r="52">
      <c r="G52" s="82"/>
      <c r="I52" s="82"/>
      <c r="J52" s="82"/>
      <c r="M52" s="1"/>
      <c r="O52" s="1"/>
    </row>
    <row r="53">
      <c r="G53" s="82"/>
      <c r="I53" s="82"/>
      <c r="J53" s="82"/>
      <c r="M53" s="1"/>
      <c r="O53" s="1"/>
    </row>
    <row r="54">
      <c r="G54" s="82"/>
      <c r="I54" s="82"/>
      <c r="J54" s="82"/>
      <c r="M54" s="1"/>
      <c r="O54" s="1"/>
    </row>
    <row r="55">
      <c r="G55" s="82"/>
      <c r="I55" s="82"/>
      <c r="J55" s="82"/>
      <c r="M55" s="1"/>
      <c r="O55" s="1"/>
    </row>
    <row r="56">
      <c r="G56" s="82"/>
      <c r="I56" s="82"/>
      <c r="J56" s="82"/>
      <c r="M56" s="1"/>
      <c r="O56" s="1"/>
    </row>
    <row r="57">
      <c r="G57" s="82"/>
      <c r="I57" s="82"/>
      <c r="J57" s="82"/>
      <c r="M57" s="1"/>
      <c r="O57" s="1"/>
    </row>
    <row r="58">
      <c r="G58" s="82"/>
      <c r="I58" s="82"/>
      <c r="J58" s="82"/>
      <c r="M58" s="1"/>
      <c r="O58" s="1"/>
    </row>
    <row r="59">
      <c r="G59" s="82"/>
      <c r="I59" s="82"/>
      <c r="J59" s="82"/>
      <c r="M59" s="1"/>
      <c r="O59" s="1"/>
    </row>
    <row r="60">
      <c r="G60" s="82"/>
      <c r="I60" s="82"/>
      <c r="J60" s="82"/>
      <c r="M60" s="1"/>
      <c r="O60" s="1"/>
    </row>
    <row r="61">
      <c r="G61" s="82"/>
      <c r="I61" s="82"/>
      <c r="J61" s="82"/>
      <c r="M61" s="1"/>
      <c r="O61" s="1"/>
    </row>
    <row r="62">
      <c r="G62" s="82"/>
      <c r="I62" s="82"/>
      <c r="J62" s="82"/>
      <c r="M62" s="1"/>
      <c r="O62" s="1"/>
    </row>
    <row r="63">
      <c r="G63" s="82"/>
      <c r="I63" s="82"/>
      <c r="J63" s="82"/>
      <c r="M63" s="1"/>
      <c r="O63" s="1"/>
    </row>
    <row r="64">
      <c r="G64" s="82"/>
      <c r="I64" s="82"/>
      <c r="J64" s="82"/>
      <c r="M64" s="1"/>
      <c r="O64" s="1"/>
    </row>
    <row r="65">
      <c r="G65" s="82"/>
      <c r="I65" s="82"/>
      <c r="J65" s="82"/>
      <c r="M65" s="1"/>
      <c r="O65" s="1"/>
    </row>
    <row r="66">
      <c r="G66" s="82"/>
      <c r="I66" s="82"/>
      <c r="J66" s="82"/>
      <c r="M66" s="1"/>
      <c r="O66" s="1"/>
    </row>
    <row r="67">
      <c r="G67" s="82"/>
      <c r="I67" s="82"/>
      <c r="J67" s="82"/>
      <c r="M67" s="1"/>
      <c r="O67" s="1"/>
    </row>
    <row r="68">
      <c r="G68" s="82"/>
      <c r="I68" s="82"/>
      <c r="J68" s="82"/>
      <c r="M68" s="1"/>
      <c r="O68" s="1"/>
    </row>
    <row r="69">
      <c r="G69" s="82"/>
      <c r="I69" s="82"/>
      <c r="J69" s="82"/>
      <c r="M69" s="1"/>
      <c r="O69" s="1"/>
    </row>
    <row r="70">
      <c r="G70" s="82"/>
      <c r="I70" s="82"/>
      <c r="J70" s="82"/>
      <c r="M70" s="1"/>
      <c r="O70" s="1"/>
    </row>
    <row r="71">
      <c r="G71" s="82"/>
      <c r="I71" s="82"/>
      <c r="J71" s="82"/>
      <c r="M71" s="1"/>
      <c r="O71" s="1"/>
    </row>
    <row r="72">
      <c r="G72" s="82"/>
      <c r="I72" s="82"/>
      <c r="J72" s="82"/>
      <c r="M72" s="1"/>
      <c r="O72" s="1"/>
    </row>
    <row r="73">
      <c r="G73" s="82"/>
      <c r="I73" s="82"/>
      <c r="J73" s="82"/>
      <c r="M73" s="1"/>
      <c r="O73" s="1"/>
    </row>
    <row r="74">
      <c r="G74" s="82"/>
      <c r="I74" s="82"/>
      <c r="J74" s="82"/>
      <c r="M74" s="1"/>
      <c r="O74" s="1"/>
    </row>
    <row r="75">
      <c r="G75" s="82"/>
      <c r="I75" s="82"/>
      <c r="J75" s="82"/>
      <c r="M75" s="1"/>
      <c r="O75" s="1"/>
    </row>
    <row r="76">
      <c r="G76" s="82"/>
      <c r="I76" s="82"/>
      <c r="J76" s="82"/>
      <c r="M76" s="1"/>
      <c r="O76" s="1"/>
    </row>
    <row r="77">
      <c r="G77" s="82"/>
      <c r="I77" s="82"/>
      <c r="J77" s="82"/>
      <c r="M77" s="1"/>
      <c r="O77" s="1"/>
    </row>
    <row r="78">
      <c r="G78" s="82"/>
      <c r="I78" s="82"/>
      <c r="J78" s="82"/>
      <c r="M78" s="1"/>
      <c r="O78" s="1"/>
    </row>
    <row r="79">
      <c r="G79" s="82"/>
      <c r="I79" s="82"/>
      <c r="J79" s="82"/>
      <c r="M79" s="1"/>
      <c r="O79" s="1"/>
    </row>
    <row r="80">
      <c r="G80" s="82"/>
      <c r="I80" s="82"/>
      <c r="J80" s="82"/>
      <c r="M80" s="1"/>
      <c r="O80" s="1"/>
    </row>
    <row r="81">
      <c r="G81" s="82"/>
      <c r="I81" s="82"/>
      <c r="J81" s="82"/>
      <c r="M81" s="1"/>
      <c r="O81" s="1"/>
    </row>
    <row r="82">
      <c r="G82" s="82"/>
      <c r="I82" s="82"/>
      <c r="J82" s="82"/>
      <c r="M82" s="1"/>
      <c r="O82" s="1"/>
    </row>
    <row r="83">
      <c r="G83" s="82"/>
      <c r="I83" s="82"/>
      <c r="J83" s="82"/>
      <c r="M83" s="1"/>
      <c r="O83" s="1"/>
    </row>
    <row r="84">
      <c r="G84" s="82"/>
      <c r="I84" s="82"/>
      <c r="J84" s="82"/>
      <c r="M84" s="1"/>
      <c r="O84" s="1"/>
    </row>
    <row r="85">
      <c r="G85" s="82"/>
      <c r="I85" s="82"/>
      <c r="J85" s="82"/>
      <c r="M85" s="1"/>
      <c r="O85" s="1"/>
    </row>
    <row r="86">
      <c r="G86" s="82"/>
      <c r="I86" s="82"/>
      <c r="J86" s="82"/>
      <c r="M86" s="1"/>
      <c r="O86" s="1"/>
    </row>
    <row r="87">
      <c r="G87" s="82"/>
      <c r="I87" s="82"/>
      <c r="J87" s="82"/>
      <c r="M87" s="1"/>
      <c r="O87" s="1"/>
    </row>
    <row r="88">
      <c r="G88" s="82"/>
      <c r="I88" s="82"/>
      <c r="J88" s="82"/>
      <c r="M88" s="1"/>
      <c r="O88" s="1"/>
    </row>
    <row r="89">
      <c r="G89" s="82"/>
      <c r="I89" s="82"/>
      <c r="J89" s="82"/>
      <c r="M89" s="1"/>
      <c r="O89" s="1"/>
    </row>
    <row r="90">
      <c r="G90" s="82"/>
      <c r="I90" s="82"/>
      <c r="J90" s="82"/>
      <c r="M90" s="1"/>
      <c r="O90" s="1"/>
    </row>
    <row r="91">
      <c r="G91" s="82"/>
      <c r="I91" s="82"/>
      <c r="J91" s="82"/>
      <c r="M91" s="1"/>
      <c r="O91" s="1"/>
    </row>
    <row r="92">
      <c r="G92" s="82"/>
      <c r="I92" s="82"/>
      <c r="J92" s="82"/>
      <c r="M92" s="1"/>
      <c r="O92" s="1"/>
    </row>
    <row r="93">
      <c r="G93" s="82"/>
      <c r="I93" s="82"/>
      <c r="J93" s="82"/>
      <c r="M93" s="1"/>
      <c r="O93" s="1"/>
    </row>
    <row r="94">
      <c r="G94" s="82"/>
      <c r="I94" s="82"/>
      <c r="J94" s="82"/>
      <c r="M94" s="1"/>
      <c r="O94" s="1"/>
    </row>
    <row r="95">
      <c r="G95" s="82"/>
      <c r="I95" s="82"/>
      <c r="J95" s="82"/>
      <c r="M95" s="1"/>
      <c r="O95" s="1"/>
    </row>
    <row r="96">
      <c r="G96" s="82"/>
      <c r="I96" s="82"/>
      <c r="J96" s="82"/>
      <c r="M96" s="1"/>
      <c r="O96" s="1"/>
    </row>
    <row r="97">
      <c r="G97" s="82"/>
      <c r="I97" s="82"/>
      <c r="J97" s="82"/>
      <c r="M97" s="1"/>
      <c r="O97" s="1"/>
    </row>
    <row r="98">
      <c r="G98" s="82"/>
      <c r="I98" s="82"/>
      <c r="J98" s="82"/>
      <c r="M98" s="1"/>
      <c r="O98" s="1"/>
    </row>
    <row r="99">
      <c r="G99" s="82"/>
      <c r="I99" s="82"/>
      <c r="J99" s="82"/>
      <c r="M99" s="1"/>
      <c r="O99" s="1"/>
    </row>
    <row r="100">
      <c r="G100" s="82"/>
      <c r="I100" s="82"/>
      <c r="J100" s="82"/>
      <c r="M100" s="1"/>
      <c r="O100" s="1"/>
    </row>
    <row r="101">
      <c r="G101" s="82"/>
      <c r="I101" s="82"/>
      <c r="J101" s="82"/>
      <c r="M101" s="1"/>
      <c r="O101" s="1"/>
    </row>
    <row r="102">
      <c r="G102" s="82"/>
      <c r="I102" s="82"/>
      <c r="J102" s="82"/>
      <c r="M102" s="1"/>
      <c r="O102" s="1"/>
    </row>
    <row r="103">
      <c r="G103" s="82"/>
      <c r="I103" s="82"/>
      <c r="J103" s="82"/>
      <c r="M103" s="1"/>
      <c r="O103" s="1"/>
    </row>
    <row r="104">
      <c r="G104" s="82"/>
      <c r="I104" s="82"/>
      <c r="J104" s="82"/>
      <c r="M104" s="1"/>
      <c r="O104" s="1"/>
    </row>
    <row r="105">
      <c r="G105" s="82"/>
      <c r="I105" s="82"/>
      <c r="J105" s="82"/>
      <c r="M105" s="1"/>
      <c r="O105" s="1"/>
    </row>
    <row r="106">
      <c r="G106" s="82"/>
      <c r="I106" s="82"/>
      <c r="J106" s="82"/>
      <c r="M106" s="1"/>
      <c r="O106" s="1"/>
    </row>
    <row r="107">
      <c r="G107" s="82"/>
      <c r="I107" s="82"/>
      <c r="J107" s="82"/>
      <c r="M107" s="1"/>
      <c r="O107" s="1"/>
    </row>
    <row r="108">
      <c r="G108" s="82"/>
      <c r="I108" s="82"/>
      <c r="J108" s="82"/>
      <c r="M108" s="1"/>
      <c r="O108" s="1"/>
    </row>
    <row r="109">
      <c r="G109" s="82"/>
      <c r="I109" s="82"/>
      <c r="J109" s="82"/>
      <c r="M109" s="1"/>
      <c r="O109" s="1"/>
    </row>
    <row r="110">
      <c r="G110" s="82"/>
      <c r="I110" s="82"/>
      <c r="J110" s="82"/>
      <c r="M110" s="1"/>
      <c r="O110" s="1"/>
    </row>
    <row r="111">
      <c r="G111" s="82"/>
      <c r="I111" s="82"/>
      <c r="J111" s="82"/>
      <c r="M111" s="1"/>
      <c r="O111" s="1"/>
    </row>
    <row r="112">
      <c r="G112" s="82"/>
      <c r="I112" s="82"/>
      <c r="J112" s="82"/>
      <c r="M112" s="1"/>
      <c r="O112" s="1"/>
    </row>
    <row r="113">
      <c r="G113" s="82"/>
      <c r="I113" s="82"/>
      <c r="J113" s="82"/>
      <c r="M113" s="1"/>
      <c r="O113" s="1"/>
    </row>
    <row r="114">
      <c r="G114" s="82"/>
      <c r="I114" s="82"/>
      <c r="J114" s="82"/>
      <c r="M114" s="1"/>
      <c r="O114" s="1"/>
    </row>
    <row r="115">
      <c r="G115" s="82"/>
      <c r="I115" s="82"/>
      <c r="J115" s="82"/>
      <c r="M115" s="1"/>
      <c r="O115" s="1"/>
    </row>
    <row r="116">
      <c r="G116" s="82"/>
      <c r="I116" s="82"/>
      <c r="J116" s="82"/>
      <c r="M116" s="1"/>
      <c r="O116" s="1"/>
    </row>
    <row r="117">
      <c r="G117" s="82"/>
      <c r="I117" s="82"/>
      <c r="J117" s="82"/>
      <c r="M117" s="1"/>
      <c r="O117" s="1"/>
    </row>
    <row r="118">
      <c r="G118" s="82"/>
      <c r="I118" s="82"/>
      <c r="J118" s="82"/>
      <c r="M118" s="1"/>
      <c r="O118" s="1"/>
    </row>
    <row r="119">
      <c r="G119" s="82"/>
      <c r="I119" s="82"/>
      <c r="J119" s="82"/>
      <c r="M119" s="1"/>
      <c r="O119" s="1"/>
    </row>
    <row r="120">
      <c r="G120" s="82"/>
      <c r="I120" s="82"/>
      <c r="J120" s="82"/>
      <c r="M120" s="1"/>
      <c r="O120" s="1"/>
    </row>
    <row r="121">
      <c r="G121" s="82"/>
      <c r="I121" s="82"/>
      <c r="J121" s="82"/>
      <c r="M121" s="1"/>
      <c r="O121" s="1"/>
    </row>
    <row r="122">
      <c r="G122" s="82"/>
      <c r="I122" s="82"/>
      <c r="J122" s="82"/>
      <c r="M122" s="1"/>
      <c r="O122" s="1"/>
    </row>
    <row r="123">
      <c r="G123" s="82"/>
      <c r="I123" s="82"/>
      <c r="J123" s="82"/>
      <c r="M123" s="1"/>
      <c r="O123" s="1"/>
    </row>
    <row r="124">
      <c r="G124" s="82"/>
      <c r="I124" s="82"/>
      <c r="J124" s="82"/>
      <c r="M124" s="1"/>
      <c r="O124" s="1"/>
    </row>
    <row r="125">
      <c r="G125" s="82"/>
      <c r="I125" s="82"/>
      <c r="J125" s="82"/>
      <c r="M125" s="1"/>
      <c r="O125" s="1"/>
    </row>
    <row r="126">
      <c r="G126" s="82"/>
      <c r="I126" s="82"/>
      <c r="J126" s="82"/>
      <c r="M126" s="1"/>
      <c r="O126" s="1"/>
    </row>
    <row r="127">
      <c r="G127" s="82"/>
      <c r="I127" s="82"/>
      <c r="J127" s="82"/>
      <c r="M127" s="1"/>
      <c r="O127" s="1"/>
    </row>
    <row r="128">
      <c r="G128" s="82"/>
      <c r="I128" s="82"/>
      <c r="J128" s="82"/>
      <c r="M128" s="1"/>
      <c r="O128" s="1"/>
    </row>
    <row r="129">
      <c r="G129" s="82"/>
      <c r="I129" s="82"/>
      <c r="J129" s="82"/>
      <c r="M129" s="1"/>
      <c r="O129" s="1"/>
    </row>
    <row r="130">
      <c r="G130" s="82"/>
      <c r="I130" s="82"/>
      <c r="J130" s="82"/>
      <c r="M130" s="1"/>
      <c r="O130" s="1"/>
    </row>
    <row r="131">
      <c r="G131" s="82"/>
      <c r="I131" s="82"/>
      <c r="J131" s="82"/>
      <c r="M131" s="1"/>
      <c r="O131" s="1"/>
    </row>
    <row r="132">
      <c r="G132" s="82"/>
      <c r="I132" s="82"/>
      <c r="J132" s="82"/>
      <c r="M132" s="1"/>
      <c r="O132" s="1"/>
    </row>
    <row r="133">
      <c r="G133" s="82"/>
      <c r="I133" s="82"/>
      <c r="J133" s="82"/>
      <c r="M133" s="1"/>
      <c r="O133" s="1"/>
    </row>
    <row r="134">
      <c r="G134" s="82"/>
      <c r="I134" s="82"/>
      <c r="J134" s="82"/>
      <c r="M134" s="1"/>
      <c r="O134" s="1"/>
    </row>
    <row r="135">
      <c r="G135" s="82"/>
      <c r="I135" s="82"/>
      <c r="J135" s="82"/>
      <c r="M135" s="1"/>
      <c r="O135" s="1"/>
    </row>
    <row r="136">
      <c r="G136" s="82"/>
      <c r="I136" s="82"/>
      <c r="J136" s="82"/>
      <c r="M136" s="1"/>
      <c r="O136" s="1"/>
    </row>
    <row r="137">
      <c r="G137" s="82"/>
      <c r="I137" s="82"/>
      <c r="J137" s="82"/>
      <c r="M137" s="1"/>
      <c r="O137" s="1"/>
    </row>
    <row r="138">
      <c r="G138" s="82"/>
      <c r="I138" s="82"/>
      <c r="J138" s="82"/>
      <c r="M138" s="1"/>
      <c r="O138" s="1"/>
    </row>
    <row r="139">
      <c r="G139" s="82"/>
      <c r="I139" s="82"/>
      <c r="J139" s="82"/>
      <c r="M139" s="1"/>
      <c r="O139" s="1"/>
    </row>
    <row r="140">
      <c r="G140" s="82"/>
      <c r="I140" s="82"/>
      <c r="J140" s="82"/>
      <c r="M140" s="1"/>
      <c r="O140" s="1"/>
    </row>
    <row r="141">
      <c r="G141" s="82"/>
      <c r="I141" s="82"/>
      <c r="J141" s="82"/>
      <c r="M141" s="1"/>
      <c r="O141" s="1"/>
    </row>
    <row r="142">
      <c r="G142" s="82"/>
      <c r="I142" s="82"/>
      <c r="J142" s="82"/>
      <c r="M142" s="1"/>
      <c r="O142" s="1"/>
    </row>
    <row r="143">
      <c r="G143" s="82"/>
      <c r="I143" s="82"/>
      <c r="J143" s="82"/>
      <c r="M143" s="1"/>
      <c r="O143" s="1"/>
    </row>
    <row r="144">
      <c r="G144" s="82"/>
      <c r="I144" s="82"/>
      <c r="J144" s="82"/>
      <c r="M144" s="1"/>
      <c r="O144" s="1"/>
    </row>
    <row r="145">
      <c r="G145" s="82"/>
      <c r="I145" s="82"/>
      <c r="J145" s="82"/>
      <c r="M145" s="1"/>
      <c r="O145" s="1"/>
    </row>
    <row r="146">
      <c r="G146" s="82"/>
      <c r="I146" s="82"/>
      <c r="J146" s="82"/>
      <c r="M146" s="1"/>
      <c r="O146" s="1"/>
    </row>
    <row r="147">
      <c r="G147" s="82"/>
      <c r="I147" s="82"/>
      <c r="J147" s="82"/>
      <c r="M147" s="1"/>
      <c r="O147" s="1"/>
    </row>
    <row r="148">
      <c r="G148" s="82"/>
      <c r="I148" s="82"/>
      <c r="J148" s="82"/>
      <c r="M148" s="1"/>
      <c r="O148" s="1"/>
    </row>
    <row r="149">
      <c r="G149" s="82"/>
      <c r="I149" s="82"/>
      <c r="J149" s="82"/>
      <c r="M149" s="1"/>
      <c r="O149" s="1"/>
    </row>
    <row r="150">
      <c r="G150" s="82"/>
      <c r="I150" s="82"/>
      <c r="J150" s="82"/>
      <c r="M150" s="1"/>
      <c r="O150" s="1"/>
    </row>
    <row r="151">
      <c r="G151" s="82"/>
      <c r="I151" s="82"/>
      <c r="J151" s="82"/>
      <c r="M151" s="1"/>
      <c r="O151" s="1"/>
    </row>
    <row r="152">
      <c r="G152" s="82"/>
      <c r="I152" s="82"/>
      <c r="J152" s="82"/>
      <c r="M152" s="1"/>
      <c r="O152" s="1"/>
    </row>
    <row r="153">
      <c r="G153" s="82"/>
      <c r="I153" s="82"/>
      <c r="J153" s="82"/>
      <c r="M153" s="1"/>
      <c r="O153" s="1"/>
    </row>
    <row r="154">
      <c r="G154" s="82"/>
      <c r="I154" s="82"/>
      <c r="J154" s="82"/>
      <c r="M154" s="1"/>
      <c r="O154" s="1"/>
    </row>
    <row r="155">
      <c r="G155" s="82"/>
      <c r="I155" s="82"/>
      <c r="J155" s="82"/>
      <c r="M155" s="1"/>
      <c r="O155" s="1"/>
    </row>
    <row r="156">
      <c r="G156" s="82"/>
      <c r="I156" s="82"/>
      <c r="J156" s="82"/>
      <c r="M156" s="1"/>
      <c r="O156" s="1"/>
    </row>
    <row r="157">
      <c r="G157" s="82"/>
      <c r="I157" s="82"/>
      <c r="J157" s="82"/>
      <c r="M157" s="1"/>
      <c r="O157" s="1"/>
    </row>
    <row r="158">
      <c r="G158" s="82"/>
      <c r="I158" s="82"/>
      <c r="J158" s="82"/>
      <c r="M158" s="1"/>
      <c r="O158" s="1"/>
    </row>
    <row r="159">
      <c r="G159" s="82"/>
      <c r="I159" s="82"/>
      <c r="J159" s="82"/>
      <c r="M159" s="1"/>
      <c r="O159" s="1"/>
    </row>
    <row r="160">
      <c r="G160" s="82"/>
      <c r="I160" s="82"/>
      <c r="J160" s="82"/>
      <c r="M160" s="1"/>
      <c r="O160" s="1"/>
    </row>
    <row r="161">
      <c r="G161" s="82"/>
      <c r="I161" s="82"/>
      <c r="J161" s="82"/>
      <c r="M161" s="1"/>
      <c r="O161" s="1"/>
    </row>
    <row r="162">
      <c r="G162" s="82"/>
      <c r="I162" s="82"/>
      <c r="J162" s="82"/>
      <c r="M162" s="1"/>
      <c r="O162" s="1"/>
    </row>
    <row r="163">
      <c r="G163" s="82"/>
      <c r="I163" s="82"/>
      <c r="J163" s="82"/>
      <c r="M163" s="1"/>
      <c r="O163" s="1"/>
    </row>
    <row r="164">
      <c r="G164" s="82"/>
      <c r="I164" s="82"/>
      <c r="J164" s="82"/>
      <c r="M164" s="1"/>
      <c r="O164" s="1"/>
    </row>
    <row r="165">
      <c r="G165" s="82"/>
      <c r="I165" s="82"/>
      <c r="J165" s="82"/>
      <c r="M165" s="1"/>
      <c r="O165" s="1"/>
    </row>
    <row r="166">
      <c r="G166" s="82"/>
      <c r="I166" s="82"/>
      <c r="J166" s="82"/>
      <c r="M166" s="1"/>
      <c r="O166" s="1"/>
    </row>
    <row r="167">
      <c r="G167" s="82"/>
      <c r="I167" s="82"/>
      <c r="J167" s="82"/>
      <c r="M167" s="1"/>
      <c r="O167" s="1"/>
    </row>
    <row r="168">
      <c r="G168" s="82"/>
      <c r="I168" s="82"/>
      <c r="J168" s="82"/>
      <c r="M168" s="1"/>
      <c r="O168" s="1"/>
    </row>
    <row r="169">
      <c r="G169" s="82"/>
      <c r="I169" s="82"/>
      <c r="J169" s="82"/>
      <c r="M169" s="1"/>
      <c r="O169" s="1"/>
    </row>
    <row r="170">
      <c r="G170" s="82"/>
      <c r="I170" s="82"/>
      <c r="J170" s="82"/>
      <c r="M170" s="1"/>
      <c r="O170" s="1"/>
    </row>
    <row r="171">
      <c r="G171" s="82"/>
      <c r="I171" s="82"/>
      <c r="J171" s="82"/>
      <c r="M171" s="1"/>
      <c r="O171" s="1"/>
    </row>
    <row r="172">
      <c r="G172" s="82"/>
      <c r="I172" s="82"/>
      <c r="J172" s="82"/>
      <c r="M172" s="1"/>
      <c r="O172" s="1"/>
    </row>
    <row r="173">
      <c r="G173" s="82"/>
      <c r="I173" s="82"/>
      <c r="J173" s="82"/>
      <c r="M173" s="1"/>
      <c r="O173" s="1"/>
    </row>
    <row r="174">
      <c r="G174" s="82"/>
      <c r="I174" s="82"/>
      <c r="J174" s="82"/>
      <c r="M174" s="1"/>
      <c r="O174" s="1"/>
    </row>
    <row r="175">
      <c r="G175" s="82"/>
      <c r="I175" s="82"/>
      <c r="J175" s="82"/>
      <c r="M175" s="1"/>
      <c r="O175" s="1"/>
    </row>
    <row r="176">
      <c r="G176" s="82"/>
      <c r="I176" s="82"/>
      <c r="J176" s="82"/>
      <c r="M176" s="1"/>
      <c r="O176" s="1"/>
    </row>
    <row r="177">
      <c r="G177" s="82"/>
      <c r="I177" s="82"/>
      <c r="J177" s="82"/>
      <c r="M177" s="1"/>
      <c r="O177" s="1"/>
    </row>
    <row r="178">
      <c r="G178" s="82"/>
      <c r="I178" s="82"/>
      <c r="J178" s="82"/>
      <c r="M178" s="1"/>
      <c r="O178" s="1"/>
    </row>
    <row r="179">
      <c r="G179" s="82"/>
      <c r="I179" s="82"/>
      <c r="J179" s="82"/>
      <c r="M179" s="1"/>
      <c r="O179" s="1"/>
    </row>
    <row r="180">
      <c r="G180" s="82"/>
      <c r="I180" s="82"/>
      <c r="J180" s="82"/>
      <c r="M180" s="1"/>
      <c r="O180" s="1"/>
    </row>
    <row r="181">
      <c r="G181" s="82"/>
      <c r="I181" s="82"/>
      <c r="J181" s="82"/>
      <c r="M181" s="1"/>
      <c r="O181" s="1"/>
    </row>
    <row r="182">
      <c r="G182" s="82"/>
      <c r="I182" s="82"/>
      <c r="J182" s="82"/>
      <c r="M182" s="1"/>
      <c r="O182" s="1"/>
    </row>
    <row r="183">
      <c r="G183" s="82"/>
      <c r="I183" s="82"/>
      <c r="J183" s="82"/>
      <c r="M183" s="1"/>
      <c r="O183" s="1"/>
    </row>
    <row r="184">
      <c r="G184" s="82"/>
      <c r="I184" s="82"/>
      <c r="J184" s="82"/>
      <c r="M184" s="1"/>
      <c r="O184" s="1"/>
    </row>
    <row r="185">
      <c r="G185" s="82"/>
      <c r="I185" s="82"/>
      <c r="J185" s="82"/>
      <c r="M185" s="1"/>
      <c r="O185" s="1"/>
    </row>
    <row r="186">
      <c r="G186" s="82"/>
      <c r="I186" s="82"/>
      <c r="J186" s="82"/>
      <c r="M186" s="1"/>
      <c r="O186" s="1"/>
    </row>
    <row r="187">
      <c r="G187" s="82"/>
      <c r="I187" s="82"/>
      <c r="J187" s="82"/>
      <c r="M187" s="1"/>
      <c r="O187" s="1"/>
    </row>
    <row r="188">
      <c r="G188" s="82"/>
      <c r="I188" s="82"/>
      <c r="J188" s="82"/>
      <c r="M188" s="1"/>
      <c r="O188" s="1"/>
    </row>
    <row r="189">
      <c r="G189" s="82"/>
      <c r="I189" s="82"/>
      <c r="J189" s="82"/>
      <c r="M189" s="1"/>
      <c r="O189" s="1"/>
    </row>
    <row r="190">
      <c r="G190" s="82"/>
      <c r="I190" s="82"/>
      <c r="J190" s="82"/>
      <c r="M190" s="1"/>
      <c r="O190" s="1"/>
    </row>
    <row r="191">
      <c r="G191" s="82"/>
      <c r="I191" s="82"/>
      <c r="J191" s="82"/>
      <c r="M191" s="1"/>
      <c r="O191" s="1"/>
    </row>
    <row r="192">
      <c r="G192" s="82"/>
      <c r="I192" s="82"/>
      <c r="J192" s="82"/>
      <c r="M192" s="1"/>
      <c r="O192" s="1"/>
    </row>
    <row r="193">
      <c r="G193" s="82"/>
      <c r="I193" s="82"/>
      <c r="J193" s="82"/>
      <c r="M193" s="1"/>
      <c r="O193" s="1"/>
    </row>
    <row r="194">
      <c r="G194" s="82"/>
      <c r="I194" s="82"/>
      <c r="J194" s="82"/>
      <c r="M194" s="1"/>
      <c r="O194" s="1"/>
    </row>
    <row r="195">
      <c r="G195" s="82"/>
      <c r="I195" s="82"/>
      <c r="J195" s="82"/>
      <c r="M195" s="1"/>
      <c r="O195" s="1"/>
    </row>
    <row r="196">
      <c r="G196" s="82"/>
      <c r="I196" s="82"/>
      <c r="J196" s="82"/>
      <c r="M196" s="1"/>
      <c r="O196" s="1"/>
    </row>
    <row r="197">
      <c r="G197" s="82"/>
      <c r="I197" s="82"/>
      <c r="J197" s="82"/>
      <c r="M197" s="1"/>
      <c r="O197" s="1"/>
    </row>
    <row r="198">
      <c r="G198" s="82"/>
      <c r="I198" s="82"/>
      <c r="J198" s="82"/>
      <c r="M198" s="1"/>
      <c r="O198" s="1"/>
    </row>
    <row r="199">
      <c r="G199" s="82"/>
      <c r="I199" s="82"/>
      <c r="J199" s="82"/>
      <c r="M199" s="1"/>
      <c r="O199" s="1"/>
    </row>
    <row r="200">
      <c r="G200" s="82"/>
      <c r="I200" s="82"/>
      <c r="J200" s="82"/>
      <c r="M200" s="1"/>
      <c r="O200" s="1"/>
    </row>
    <row r="201">
      <c r="G201" s="82"/>
      <c r="I201" s="82"/>
      <c r="J201" s="82"/>
      <c r="M201" s="1"/>
      <c r="O201" s="1"/>
    </row>
    <row r="202">
      <c r="G202" s="82"/>
      <c r="I202" s="82"/>
      <c r="J202" s="82"/>
      <c r="M202" s="1"/>
      <c r="O202" s="1"/>
    </row>
    <row r="203">
      <c r="G203" s="82"/>
      <c r="I203" s="82"/>
      <c r="J203" s="82"/>
      <c r="M203" s="1"/>
      <c r="O203" s="1"/>
    </row>
    <row r="204">
      <c r="G204" s="82"/>
      <c r="I204" s="82"/>
      <c r="J204" s="82"/>
      <c r="M204" s="1"/>
      <c r="O204" s="1"/>
    </row>
    <row r="205">
      <c r="G205" s="82"/>
      <c r="I205" s="82"/>
      <c r="J205" s="82"/>
      <c r="M205" s="1"/>
      <c r="O205" s="1"/>
    </row>
    <row r="206">
      <c r="G206" s="82"/>
      <c r="I206" s="82"/>
      <c r="J206" s="82"/>
      <c r="M206" s="1"/>
      <c r="O206" s="1"/>
    </row>
    <row r="207">
      <c r="G207" s="82"/>
      <c r="I207" s="82"/>
      <c r="J207" s="82"/>
      <c r="M207" s="1"/>
      <c r="O207" s="1"/>
    </row>
    <row r="208">
      <c r="G208" s="82"/>
      <c r="I208" s="82"/>
      <c r="J208" s="82"/>
      <c r="M208" s="1"/>
      <c r="O208" s="1"/>
    </row>
    <row r="209">
      <c r="G209" s="82"/>
      <c r="I209" s="82"/>
      <c r="J209" s="82"/>
      <c r="M209" s="1"/>
      <c r="O209" s="1"/>
    </row>
    <row r="210">
      <c r="G210" s="82"/>
      <c r="I210" s="82"/>
      <c r="J210" s="82"/>
      <c r="M210" s="1"/>
      <c r="O210" s="1"/>
    </row>
    <row r="211">
      <c r="G211" s="82"/>
      <c r="I211" s="82"/>
      <c r="J211" s="82"/>
      <c r="M211" s="1"/>
      <c r="O211" s="1"/>
    </row>
    <row r="212">
      <c r="G212" s="82"/>
      <c r="I212" s="82"/>
      <c r="J212" s="82"/>
      <c r="M212" s="1"/>
      <c r="O212" s="1"/>
    </row>
    <row r="213">
      <c r="G213" s="82"/>
      <c r="I213" s="82"/>
      <c r="J213" s="82"/>
      <c r="M213" s="1"/>
      <c r="O213" s="1"/>
    </row>
    <row r="214">
      <c r="G214" s="82"/>
      <c r="I214" s="82"/>
      <c r="J214" s="82"/>
      <c r="M214" s="1"/>
      <c r="O214" s="1"/>
    </row>
    <row r="215">
      <c r="G215" s="82"/>
      <c r="I215" s="82"/>
      <c r="J215" s="82"/>
      <c r="M215" s="1"/>
      <c r="O215" s="1"/>
    </row>
    <row r="216">
      <c r="G216" s="82"/>
      <c r="I216" s="82"/>
      <c r="J216" s="82"/>
      <c r="M216" s="1"/>
      <c r="O216" s="1"/>
    </row>
    <row r="217">
      <c r="G217" s="82"/>
      <c r="I217" s="82"/>
      <c r="J217" s="82"/>
      <c r="M217" s="1"/>
      <c r="O217" s="1"/>
    </row>
    <row r="218">
      <c r="G218" s="82"/>
      <c r="I218" s="82"/>
      <c r="J218" s="82"/>
      <c r="M218" s="1"/>
      <c r="O218" s="1"/>
    </row>
    <row r="219">
      <c r="G219" s="82"/>
      <c r="I219" s="82"/>
      <c r="J219" s="82"/>
      <c r="M219" s="1"/>
      <c r="O219" s="1"/>
    </row>
    <row r="220">
      <c r="G220" s="82"/>
      <c r="I220" s="82"/>
      <c r="J220" s="82"/>
      <c r="M220" s="1"/>
      <c r="O220" s="1"/>
    </row>
    <row r="221">
      <c r="G221" s="82"/>
      <c r="I221" s="82"/>
      <c r="J221" s="82"/>
      <c r="M221" s="1"/>
      <c r="O221" s="1"/>
    </row>
    <row r="222">
      <c r="G222" s="82"/>
      <c r="I222" s="82"/>
      <c r="J222" s="82"/>
      <c r="M222" s="1"/>
      <c r="O222" s="1"/>
    </row>
    <row r="223">
      <c r="G223" s="82"/>
      <c r="I223" s="82"/>
      <c r="J223" s="82"/>
      <c r="M223" s="1"/>
      <c r="O223" s="1"/>
    </row>
    <row r="224">
      <c r="G224" s="82"/>
      <c r="I224" s="82"/>
      <c r="J224" s="82"/>
      <c r="M224" s="1"/>
      <c r="O224" s="1"/>
    </row>
    <row r="225">
      <c r="G225" s="82"/>
      <c r="I225" s="82"/>
      <c r="J225" s="82"/>
      <c r="M225" s="1"/>
      <c r="O225" s="1"/>
    </row>
    <row r="226">
      <c r="G226" s="82"/>
      <c r="I226" s="82"/>
      <c r="J226" s="82"/>
      <c r="M226" s="1"/>
      <c r="O226" s="1"/>
    </row>
    <row r="227">
      <c r="G227" s="82"/>
      <c r="I227" s="82"/>
      <c r="J227" s="82"/>
      <c r="M227" s="1"/>
      <c r="O227" s="1"/>
    </row>
    <row r="228">
      <c r="G228" s="82"/>
      <c r="I228" s="82"/>
      <c r="J228" s="82"/>
      <c r="M228" s="1"/>
      <c r="O228" s="1"/>
    </row>
    <row r="229">
      <c r="G229" s="82"/>
      <c r="I229" s="82"/>
      <c r="J229" s="82"/>
      <c r="M229" s="1"/>
      <c r="O229" s="1"/>
    </row>
    <row r="230">
      <c r="G230" s="82"/>
      <c r="I230" s="82"/>
      <c r="J230" s="82"/>
      <c r="M230" s="1"/>
      <c r="O230" s="1"/>
    </row>
    <row r="231">
      <c r="G231" s="82"/>
      <c r="I231" s="82"/>
      <c r="J231" s="82"/>
      <c r="M231" s="1"/>
      <c r="O231" s="1"/>
    </row>
    <row r="232">
      <c r="G232" s="82"/>
      <c r="I232" s="82"/>
      <c r="J232" s="82"/>
      <c r="M232" s="1"/>
      <c r="O232" s="1"/>
    </row>
    <row r="233">
      <c r="G233" s="82"/>
      <c r="I233" s="82"/>
      <c r="J233" s="82"/>
      <c r="M233" s="1"/>
      <c r="O233" s="1"/>
    </row>
    <row r="234">
      <c r="G234" s="82"/>
      <c r="I234" s="82"/>
      <c r="J234" s="82"/>
      <c r="M234" s="1"/>
      <c r="O234" s="1"/>
    </row>
    <row r="235">
      <c r="G235" s="82"/>
      <c r="I235" s="82"/>
      <c r="J235" s="82"/>
      <c r="M235" s="1"/>
      <c r="O235" s="1"/>
    </row>
    <row r="236">
      <c r="G236" s="82"/>
      <c r="I236" s="82"/>
      <c r="J236" s="82"/>
      <c r="M236" s="1"/>
      <c r="O236" s="1"/>
    </row>
    <row r="237">
      <c r="G237" s="82"/>
      <c r="I237" s="82"/>
      <c r="J237" s="82"/>
      <c r="M237" s="1"/>
      <c r="O237" s="1"/>
    </row>
    <row r="238">
      <c r="G238" s="82"/>
      <c r="I238" s="82"/>
      <c r="J238" s="82"/>
      <c r="M238" s="1"/>
      <c r="O238" s="1"/>
    </row>
    <row r="239">
      <c r="G239" s="82"/>
      <c r="I239" s="82"/>
      <c r="J239" s="82"/>
      <c r="M239" s="1"/>
      <c r="O239" s="1"/>
    </row>
    <row r="240">
      <c r="G240" s="82"/>
      <c r="I240" s="82"/>
      <c r="J240" s="82"/>
      <c r="M240" s="1"/>
      <c r="O240" s="1"/>
    </row>
    <row r="241">
      <c r="G241" s="82"/>
      <c r="I241" s="82"/>
      <c r="J241" s="82"/>
      <c r="M241" s="1"/>
      <c r="O241" s="1"/>
    </row>
    <row r="242">
      <c r="G242" s="82"/>
      <c r="I242" s="82"/>
      <c r="J242" s="82"/>
      <c r="M242" s="1"/>
      <c r="O242" s="1"/>
    </row>
    <row r="243">
      <c r="G243" s="82"/>
      <c r="I243" s="82"/>
      <c r="J243" s="82"/>
      <c r="M243" s="1"/>
      <c r="O243" s="1"/>
    </row>
    <row r="244">
      <c r="G244" s="82"/>
      <c r="I244" s="82"/>
      <c r="J244" s="82"/>
      <c r="M244" s="1"/>
      <c r="O244" s="1"/>
    </row>
    <row r="245">
      <c r="G245" s="82"/>
      <c r="I245" s="82"/>
      <c r="J245" s="82"/>
      <c r="M245" s="1"/>
      <c r="O245" s="1"/>
    </row>
    <row r="246">
      <c r="G246" s="82"/>
      <c r="I246" s="82"/>
      <c r="J246" s="82"/>
      <c r="M246" s="1"/>
      <c r="O246" s="1"/>
    </row>
    <row r="247">
      <c r="G247" s="82"/>
      <c r="I247" s="82"/>
      <c r="J247" s="82"/>
      <c r="M247" s="1"/>
      <c r="O247" s="1"/>
    </row>
    <row r="248">
      <c r="G248" s="82"/>
      <c r="I248" s="82"/>
      <c r="J248" s="82"/>
      <c r="M248" s="1"/>
      <c r="O248" s="1"/>
    </row>
    <row r="249">
      <c r="G249" s="82"/>
      <c r="I249" s="82"/>
      <c r="J249" s="82"/>
      <c r="M249" s="1"/>
      <c r="O249" s="1"/>
    </row>
    <row r="250">
      <c r="G250" s="82"/>
      <c r="I250" s="82"/>
      <c r="J250" s="82"/>
      <c r="M250" s="1"/>
      <c r="O250" s="1"/>
    </row>
    <row r="251">
      <c r="G251" s="82"/>
      <c r="I251" s="82"/>
      <c r="J251" s="82"/>
      <c r="M251" s="1"/>
      <c r="O251" s="1"/>
    </row>
    <row r="252">
      <c r="G252" s="82"/>
      <c r="I252" s="82"/>
      <c r="J252" s="82"/>
      <c r="M252" s="1"/>
      <c r="O252" s="1"/>
    </row>
    <row r="253">
      <c r="G253" s="82"/>
      <c r="I253" s="82"/>
      <c r="J253" s="82"/>
      <c r="M253" s="1"/>
      <c r="O253" s="1"/>
    </row>
    <row r="254">
      <c r="G254" s="82"/>
      <c r="I254" s="82"/>
      <c r="J254" s="82"/>
      <c r="M254" s="1"/>
      <c r="O254" s="1"/>
    </row>
    <row r="255">
      <c r="G255" s="82"/>
      <c r="I255" s="82"/>
      <c r="J255" s="82"/>
      <c r="M255" s="1"/>
      <c r="O255" s="1"/>
    </row>
    <row r="256">
      <c r="G256" s="82"/>
      <c r="I256" s="82"/>
      <c r="J256" s="82"/>
      <c r="M256" s="1"/>
      <c r="O256" s="1"/>
    </row>
    <row r="257">
      <c r="G257" s="82"/>
      <c r="I257" s="82"/>
      <c r="J257" s="82"/>
      <c r="M257" s="1"/>
      <c r="O257" s="1"/>
    </row>
    <row r="258">
      <c r="G258" s="82"/>
      <c r="I258" s="82"/>
      <c r="J258" s="82"/>
      <c r="M258" s="1"/>
      <c r="O258" s="1"/>
    </row>
    <row r="259">
      <c r="G259" s="82"/>
      <c r="I259" s="82"/>
      <c r="J259" s="82"/>
      <c r="M259" s="1"/>
      <c r="O259" s="1"/>
    </row>
    <row r="260">
      <c r="G260" s="82"/>
      <c r="I260" s="82"/>
      <c r="J260" s="82"/>
      <c r="M260" s="1"/>
      <c r="O260" s="1"/>
    </row>
    <row r="261">
      <c r="G261" s="82"/>
      <c r="I261" s="82"/>
      <c r="J261" s="82"/>
      <c r="M261" s="1"/>
      <c r="O261" s="1"/>
    </row>
    <row r="262">
      <c r="G262" s="82"/>
      <c r="I262" s="82"/>
      <c r="J262" s="82"/>
      <c r="M262" s="1"/>
      <c r="O262" s="1"/>
    </row>
    <row r="263">
      <c r="G263" s="82"/>
      <c r="I263" s="82"/>
      <c r="J263" s="82"/>
      <c r="M263" s="1"/>
      <c r="O263" s="1"/>
    </row>
    <row r="264">
      <c r="G264" s="82"/>
      <c r="I264" s="82"/>
      <c r="J264" s="82"/>
      <c r="M264" s="1"/>
      <c r="O264" s="1"/>
    </row>
    <row r="265">
      <c r="G265" s="82"/>
      <c r="I265" s="82"/>
      <c r="J265" s="82"/>
      <c r="M265" s="1"/>
      <c r="O265" s="1"/>
    </row>
    <row r="266">
      <c r="G266" s="82"/>
      <c r="I266" s="82"/>
      <c r="J266" s="82"/>
      <c r="M266" s="1"/>
      <c r="O266" s="1"/>
    </row>
    <row r="267">
      <c r="G267" s="82"/>
      <c r="I267" s="82"/>
      <c r="J267" s="82"/>
      <c r="M267" s="1"/>
      <c r="O267" s="1"/>
    </row>
    <row r="268">
      <c r="G268" s="82"/>
      <c r="I268" s="82"/>
      <c r="J268" s="82"/>
      <c r="M268" s="1"/>
      <c r="O268" s="1"/>
    </row>
    <row r="269">
      <c r="G269" s="82"/>
      <c r="I269" s="82"/>
      <c r="J269" s="82"/>
      <c r="M269" s="1"/>
      <c r="O269" s="1"/>
    </row>
    <row r="270">
      <c r="G270" s="82"/>
      <c r="I270" s="82"/>
      <c r="J270" s="82"/>
      <c r="M270" s="1"/>
      <c r="O270" s="1"/>
    </row>
    <row r="271">
      <c r="G271" s="82"/>
      <c r="I271" s="82"/>
      <c r="J271" s="82"/>
      <c r="M271" s="1"/>
      <c r="O271" s="1"/>
    </row>
    <row r="272">
      <c r="G272" s="82"/>
      <c r="I272" s="82"/>
      <c r="J272" s="82"/>
      <c r="M272" s="1"/>
      <c r="O272" s="1"/>
    </row>
    <row r="273">
      <c r="G273" s="82"/>
      <c r="I273" s="82"/>
      <c r="J273" s="82"/>
      <c r="M273" s="1"/>
      <c r="O273" s="1"/>
    </row>
    <row r="274">
      <c r="G274" s="82"/>
      <c r="I274" s="82"/>
      <c r="J274" s="82"/>
      <c r="M274" s="1"/>
      <c r="O274" s="1"/>
    </row>
    <row r="275">
      <c r="G275" s="82"/>
      <c r="I275" s="82"/>
      <c r="J275" s="82"/>
      <c r="M275" s="1"/>
      <c r="O275" s="1"/>
    </row>
    <row r="276">
      <c r="G276" s="82"/>
      <c r="I276" s="82"/>
      <c r="J276" s="82"/>
      <c r="M276" s="1"/>
      <c r="O276" s="1"/>
    </row>
    <row r="277">
      <c r="G277" s="82"/>
      <c r="I277" s="82"/>
      <c r="J277" s="82"/>
      <c r="M277" s="1"/>
      <c r="O277" s="1"/>
    </row>
    <row r="278">
      <c r="G278" s="82"/>
      <c r="I278" s="82"/>
      <c r="J278" s="82"/>
      <c r="M278" s="1"/>
      <c r="O278" s="1"/>
    </row>
    <row r="279">
      <c r="G279" s="82"/>
      <c r="I279" s="82"/>
      <c r="J279" s="82"/>
      <c r="M279" s="1"/>
      <c r="O279" s="1"/>
    </row>
    <row r="280">
      <c r="G280" s="82"/>
      <c r="I280" s="82"/>
      <c r="J280" s="82"/>
      <c r="M280" s="1"/>
      <c r="O280" s="1"/>
    </row>
    <row r="281">
      <c r="G281" s="82"/>
      <c r="I281" s="82"/>
      <c r="J281" s="82"/>
      <c r="M281" s="1"/>
      <c r="O281" s="1"/>
    </row>
    <row r="282">
      <c r="G282" s="82"/>
      <c r="I282" s="82"/>
      <c r="J282" s="82"/>
      <c r="M282" s="1"/>
      <c r="O282" s="1"/>
    </row>
    <row r="283">
      <c r="G283" s="82"/>
      <c r="I283" s="82"/>
      <c r="J283" s="82"/>
      <c r="M283" s="1"/>
      <c r="O283" s="1"/>
    </row>
    <row r="284">
      <c r="G284" s="82"/>
      <c r="I284" s="82"/>
      <c r="J284" s="82"/>
      <c r="M284" s="1"/>
      <c r="O284" s="1"/>
    </row>
    <row r="285">
      <c r="G285" s="82"/>
      <c r="I285" s="82"/>
      <c r="J285" s="82"/>
      <c r="M285" s="1"/>
      <c r="O285" s="1"/>
    </row>
    <row r="286">
      <c r="G286" s="82"/>
      <c r="I286" s="82"/>
      <c r="J286" s="82"/>
      <c r="M286" s="1"/>
      <c r="O286" s="1"/>
    </row>
    <row r="287">
      <c r="G287" s="82"/>
      <c r="I287" s="82"/>
      <c r="J287" s="82"/>
      <c r="M287" s="1"/>
      <c r="O287" s="1"/>
    </row>
    <row r="288">
      <c r="G288" s="82"/>
      <c r="I288" s="82"/>
      <c r="J288" s="82"/>
      <c r="M288" s="1"/>
      <c r="O288" s="1"/>
    </row>
    <row r="289">
      <c r="G289" s="82"/>
      <c r="I289" s="82"/>
      <c r="J289" s="82"/>
      <c r="M289" s="1"/>
      <c r="O289" s="1"/>
    </row>
    <row r="290">
      <c r="G290" s="82"/>
      <c r="I290" s="82"/>
      <c r="J290" s="82"/>
      <c r="M290" s="1"/>
      <c r="O290" s="1"/>
    </row>
    <row r="291">
      <c r="G291" s="82"/>
      <c r="I291" s="82"/>
      <c r="J291" s="82"/>
      <c r="M291" s="1"/>
      <c r="O291" s="1"/>
    </row>
    <row r="292">
      <c r="G292" s="82"/>
      <c r="I292" s="82"/>
      <c r="J292" s="82"/>
      <c r="M292" s="1"/>
      <c r="O292" s="1"/>
    </row>
    <row r="293">
      <c r="G293" s="82"/>
      <c r="I293" s="82"/>
      <c r="J293" s="82"/>
      <c r="M293" s="1"/>
      <c r="O293" s="1"/>
    </row>
    <row r="294">
      <c r="G294" s="82"/>
      <c r="I294" s="82"/>
      <c r="J294" s="82"/>
      <c r="M294" s="1"/>
      <c r="O294" s="1"/>
    </row>
    <row r="295">
      <c r="G295" s="82"/>
      <c r="I295" s="82"/>
      <c r="J295" s="82"/>
      <c r="M295" s="1"/>
      <c r="O295" s="1"/>
    </row>
    <row r="296">
      <c r="G296" s="82"/>
      <c r="I296" s="82"/>
      <c r="J296" s="82"/>
      <c r="M296" s="1"/>
      <c r="O296" s="1"/>
    </row>
    <row r="297">
      <c r="G297" s="82"/>
      <c r="I297" s="82"/>
      <c r="J297" s="82"/>
      <c r="M297" s="1"/>
      <c r="O297" s="1"/>
    </row>
    <row r="298">
      <c r="G298" s="82"/>
      <c r="I298" s="82"/>
      <c r="J298" s="82"/>
      <c r="M298" s="1"/>
      <c r="O298" s="1"/>
    </row>
    <row r="299">
      <c r="G299" s="82"/>
      <c r="I299" s="82"/>
      <c r="J299" s="82"/>
      <c r="M299" s="1"/>
      <c r="O299" s="1"/>
    </row>
    <row r="300">
      <c r="G300" s="82"/>
      <c r="I300" s="82"/>
      <c r="J300" s="82"/>
      <c r="M300" s="1"/>
      <c r="O300" s="1"/>
    </row>
    <row r="301">
      <c r="G301" s="82"/>
      <c r="I301" s="82"/>
      <c r="J301" s="82"/>
      <c r="M301" s="1"/>
      <c r="O301" s="1"/>
    </row>
    <row r="302">
      <c r="G302" s="82"/>
      <c r="I302" s="82"/>
      <c r="J302" s="82"/>
      <c r="M302" s="1"/>
      <c r="O302" s="1"/>
    </row>
    <row r="303">
      <c r="G303" s="82"/>
      <c r="I303" s="82"/>
      <c r="J303" s="82"/>
      <c r="M303" s="1"/>
      <c r="O303" s="1"/>
    </row>
    <row r="304">
      <c r="G304" s="82"/>
      <c r="I304" s="82"/>
      <c r="J304" s="82"/>
      <c r="M304" s="1"/>
      <c r="O304" s="1"/>
    </row>
    <row r="305">
      <c r="G305" s="82"/>
      <c r="I305" s="82"/>
      <c r="J305" s="82"/>
      <c r="M305" s="1"/>
      <c r="O305" s="1"/>
    </row>
    <row r="306">
      <c r="G306" s="82"/>
      <c r="I306" s="82"/>
      <c r="J306" s="82"/>
      <c r="M306" s="1"/>
      <c r="O306" s="1"/>
    </row>
    <row r="307">
      <c r="G307" s="82"/>
      <c r="I307" s="82"/>
      <c r="J307" s="82"/>
      <c r="M307" s="1"/>
      <c r="O307" s="1"/>
    </row>
    <row r="308">
      <c r="G308" s="82"/>
      <c r="I308" s="82"/>
      <c r="J308" s="82"/>
      <c r="M308" s="1"/>
      <c r="O308" s="1"/>
    </row>
    <row r="309">
      <c r="G309" s="82"/>
      <c r="I309" s="82"/>
      <c r="J309" s="82"/>
      <c r="M309" s="1"/>
      <c r="O309" s="1"/>
    </row>
    <row r="310">
      <c r="G310" s="82"/>
      <c r="I310" s="82"/>
      <c r="J310" s="82"/>
      <c r="M310" s="1"/>
      <c r="O310" s="1"/>
    </row>
    <row r="311">
      <c r="G311" s="82"/>
      <c r="I311" s="82"/>
      <c r="J311" s="82"/>
      <c r="M311" s="1"/>
      <c r="O311" s="1"/>
    </row>
    <row r="312">
      <c r="G312" s="82"/>
      <c r="I312" s="82"/>
      <c r="J312" s="82"/>
      <c r="M312" s="1"/>
      <c r="O312" s="1"/>
    </row>
    <row r="313">
      <c r="G313" s="82"/>
      <c r="I313" s="82"/>
      <c r="J313" s="82"/>
      <c r="M313" s="1"/>
      <c r="O313" s="1"/>
    </row>
    <row r="314">
      <c r="G314" s="82"/>
      <c r="I314" s="82"/>
      <c r="J314" s="82"/>
      <c r="M314" s="1"/>
      <c r="O314" s="1"/>
    </row>
    <row r="315">
      <c r="G315" s="82"/>
      <c r="I315" s="82"/>
      <c r="J315" s="82"/>
      <c r="M315" s="1"/>
      <c r="O315" s="1"/>
    </row>
    <row r="316">
      <c r="G316" s="82"/>
      <c r="I316" s="82"/>
      <c r="J316" s="82"/>
      <c r="M316" s="1"/>
      <c r="O316" s="1"/>
    </row>
    <row r="317">
      <c r="G317" s="82"/>
      <c r="I317" s="82"/>
      <c r="J317" s="82"/>
      <c r="M317" s="1"/>
      <c r="O317" s="1"/>
    </row>
    <row r="318">
      <c r="G318" s="82"/>
      <c r="I318" s="82"/>
      <c r="J318" s="82"/>
      <c r="M318" s="1"/>
      <c r="O318" s="1"/>
    </row>
    <row r="319">
      <c r="G319" s="82"/>
      <c r="I319" s="82"/>
      <c r="J319" s="82"/>
      <c r="M319" s="1"/>
      <c r="O319" s="1"/>
    </row>
    <row r="320">
      <c r="G320" s="82"/>
      <c r="I320" s="82"/>
      <c r="J320" s="82"/>
      <c r="M320" s="1"/>
      <c r="O320" s="1"/>
    </row>
    <row r="321">
      <c r="G321" s="82"/>
      <c r="I321" s="82"/>
      <c r="J321" s="82"/>
      <c r="M321" s="1"/>
      <c r="O321" s="1"/>
    </row>
    <row r="322">
      <c r="G322" s="82"/>
      <c r="I322" s="82"/>
      <c r="J322" s="82"/>
      <c r="M322" s="1"/>
      <c r="O322" s="1"/>
    </row>
    <row r="323">
      <c r="G323" s="82"/>
      <c r="I323" s="82"/>
      <c r="J323" s="82"/>
      <c r="M323" s="1"/>
      <c r="O323" s="1"/>
    </row>
    <row r="324">
      <c r="G324" s="82"/>
      <c r="I324" s="82"/>
      <c r="J324" s="82"/>
      <c r="M324" s="1"/>
      <c r="O324" s="1"/>
    </row>
    <row r="325">
      <c r="G325" s="82"/>
      <c r="I325" s="82"/>
      <c r="J325" s="82"/>
      <c r="M325" s="1"/>
      <c r="O325" s="1"/>
    </row>
    <row r="326">
      <c r="G326" s="82"/>
      <c r="I326" s="82"/>
      <c r="J326" s="82"/>
      <c r="M326" s="1"/>
      <c r="O326" s="1"/>
    </row>
    <row r="327">
      <c r="G327" s="82"/>
      <c r="I327" s="82"/>
      <c r="J327" s="82"/>
      <c r="M327" s="1"/>
      <c r="O327" s="1"/>
    </row>
    <row r="328">
      <c r="G328" s="82"/>
      <c r="I328" s="82"/>
      <c r="J328" s="82"/>
      <c r="M328" s="1"/>
      <c r="O328" s="1"/>
    </row>
    <row r="329">
      <c r="G329" s="82"/>
      <c r="I329" s="82"/>
      <c r="J329" s="82"/>
      <c r="M329" s="1"/>
      <c r="O329" s="1"/>
    </row>
    <row r="330">
      <c r="G330" s="82"/>
      <c r="I330" s="82"/>
      <c r="J330" s="82"/>
      <c r="M330" s="1"/>
      <c r="O330" s="1"/>
    </row>
    <row r="331">
      <c r="G331" s="82"/>
      <c r="I331" s="82"/>
      <c r="J331" s="82"/>
      <c r="M331" s="1"/>
      <c r="O331" s="1"/>
    </row>
    <row r="332">
      <c r="G332" s="82"/>
      <c r="I332" s="82"/>
      <c r="J332" s="82"/>
      <c r="M332" s="1"/>
      <c r="O332" s="1"/>
    </row>
    <row r="333">
      <c r="G333" s="82"/>
      <c r="I333" s="82"/>
      <c r="J333" s="82"/>
      <c r="M333" s="1"/>
      <c r="O333" s="1"/>
    </row>
    <row r="334">
      <c r="G334" s="82"/>
      <c r="I334" s="82"/>
      <c r="J334" s="82"/>
      <c r="M334" s="1"/>
      <c r="O334" s="1"/>
    </row>
    <row r="335">
      <c r="G335" s="82"/>
      <c r="I335" s="82"/>
      <c r="J335" s="82"/>
      <c r="M335" s="1"/>
      <c r="O335" s="1"/>
    </row>
    <row r="336">
      <c r="G336" s="82"/>
      <c r="I336" s="82"/>
      <c r="J336" s="82"/>
      <c r="M336" s="1"/>
      <c r="O336" s="1"/>
    </row>
    <row r="337">
      <c r="G337" s="82"/>
      <c r="I337" s="82"/>
      <c r="J337" s="82"/>
      <c r="M337" s="1"/>
      <c r="O337" s="1"/>
    </row>
    <row r="338">
      <c r="G338" s="82"/>
      <c r="I338" s="82"/>
      <c r="J338" s="82"/>
      <c r="M338" s="1"/>
      <c r="O338" s="1"/>
    </row>
    <row r="339">
      <c r="G339" s="82"/>
      <c r="I339" s="82"/>
      <c r="J339" s="82"/>
      <c r="M339" s="1"/>
      <c r="O339" s="1"/>
    </row>
    <row r="340">
      <c r="G340" s="82"/>
      <c r="I340" s="82"/>
      <c r="J340" s="82"/>
      <c r="M340" s="1"/>
      <c r="O340" s="1"/>
    </row>
    <row r="341">
      <c r="G341" s="82"/>
      <c r="I341" s="82"/>
      <c r="J341" s="82"/>
      <c r="M341" s="1"/>
      <c r="O341" s="1"/>
    </row>
    <row r="342">
      <c r="G342" s="82"/>
      <c r="I342" s="82"/>
      <c r="J342" s="82"/>
      <c r="M342" s="1"/>
      <c r="O342" s="1"/>
    </row>
    <row r="343">
      <c r="G343" s="82"/>
      <c r="I343" s="82"/>
      <c r="J343" s="82"/>
      <c r="M343" s="1"/>
      <c r="O343" s="1"/>
    </row>
    <row r="344">
      <c r="G344" s="82"/>
      <c r="I344" s="82"/>
      <c r="J344" s="82"/>
      <c r="M344" s="1"/>
      <c r="O344" s="1"/>
    </row>
    <row r="345">
      <c r="G345" s="82"/>
      <c r="I345" s="82"/>
      <c r="J345" s="82"/>
      <c r="M345" s="1"/>
      <c r="O345" s="1"/>
    </row>
    <row r="346">
      <c r="G346" s="82"/>
      <c r="I346" s="82"/>
      <c r="J346" s="82"/>
      <c r="M346" s="1"/>
      <c r="O346" s="1"/>
    </row>
    <row r="347">
      <c r="G347" s="82"/>
      <c r="I347" s="82"/>
      <c r="J347" s="82"/>
      <c r="M347" s="1"/>
      <c r="O347" s="1"/>
    </row>
    <row r="348">
      <c r="G348" s="82"/>
      <c r="I348" s="82"/>
      <c r="J348" s="82"/>
      <c r="M348" s="1"/>
      <c r="O348" s="1"/>
    </row>
    <row r="349">
      <c r="G349" s="82"/>
      <c r="I349" s="82"/>
      <c r="J349" s="82"/>
      <c r="M349" s="1"/>
      <c r="O349" s="1"/>
    </row>
    <row r="350">
      <c r="G350" s="82"/>
      <c r="I350" s="82"/>
      <c r="J350" s="82"/>
      <c r="M350" s="1"/>
      <c r="O350" s="1"/>
    </row>
    <row r="351">
      <c r="G351" s="82"/>
      <c r="I351" s="82"/>
      <c r="J351" s="82"/>
      <c r="M351" s="1"/>
      <c r="O351" s="1"/>
    </row>
    <row r="352">
      <c r="G352" s="82"/>
      <c r="I352" s="82"/>
      <c r="J352" s="82"/>
      <c r="M352" s="1"/>
      <c r="O352" s="1"/>
    </row>
    <row r="353">
      <c r="G353" s="82"/>
      <c r="I353" s="82"/>
      <c r="J353" s="82"/>
      <c r="M353" s="1"/>
      <c r="O353" s="1"/>
    </row>
    <row r="354">
      <c r="G354" s="82"/>
      <c r="I354" s="82"/>
      <c r="J354" s="82"/>
      <c r="M354" s="1"/>
      <c r="O354" s="1"/>
    </row>
    <row r="355">
      <c r="G355" s="82"/>
      <c r="I355" s="82"/>
      <c r="J355" s="82"/>
      <c r="M355" s="1"/>
      <c r="O355" s="1"/>
    </row>
    <row r="356">
      <c r="G356" s="82"/>
      <c r="I356" s="82"/>
      <c r="J356" s="82"/>
      <c r="M356" s="1"/>
      <c r="O356" s="1"/>
    </row>
    <row r="357">
      <c r="G357" s="82"/>
      <c r="I357" s="82"/>
      <c r="J357" s="82"/>
      <c r="M357" s="1"/>
      <c r="O357" s="1"/>
    </row>
    <row r="358">
      <c r="G358" s="82"/>
      <c r="I358" s="82"/>
      <c r="J358" s="82"/>
      <c r="M358" s="1"/>
      <c r="O358" s="1"/>
    </row>
    <row r="359">
      <c r="G359" s="82"/>
      <c r="I359" s="82"/>
      <c r="J359" s="82"/>
      <c r="M359" s="1"/>
      <c r="O359" s="1"/>
    </row>
    <row r="360">
      <c r="G360" s="82"/>
      <c r="I360" s="82"/>
      <c r="J360" s="82"/>
      <c r="M360" s="1"/>
      <c r="O360" s="1"/>
    </row>
    <row r="361">
      <c r="G361" s="82"/>
      <c r="I361" s="82"/>
      <c r="J361" s="82"/>
      <c r="M361" s="1"/>
      <c r="O361" s="1"/>
    </row>
    <row r="362">
      <c r="G362" s="82"/>
      <c r="I362" s="82"/>
      <c r="J362" s="82"/>
      <c r="M362" s="1"/>
      <c r="O362" s="1"/>
    </row>
    <row r="363">
      <c r="G363" s="82"/>
      <c r="I363" s="82"/>
      <c r="J363" s="82"/>
      <c r="M363" s="1"/>
      <c r="O363" s="1"/>
    </row>
    <row r="364">
      <c r="G364" s="82"/>
      <c r="I364" s="82"/>
      <c r="J364" s="82"/>
      <c r="M364" s="1"/>
      <c r="O364" s="1"/>
    </row>
    <row r="365">
      <c r="G365" s="82"/>
      <c r="I365" s="82"/>
      <c r="J365" s="82"/>
      <c r="M365" s="1"/>
      <c r="O365" s="1"/>
    </row>
    <row r="366">
      <c r="G366" s="82"/>
      <c r="I366" s="82"/>
      <c r="J366" s="82"/>
      <c r="M366" s="1"/>
      <c r="O366" s="1"/>
    </row>
    <row r="367">
      <c r="G367" s="82"/>
      <c r="I367" s="82"/>
      <c r="J367" s="82"/>
      <c r="M367" s="1"/>
      <c r="O367" s="1"/>
    </row>
    <row r="368">
      <c r="G368" s="82"/>
      <c r="I368" s="82"/>
      <c r="J368" s="82"/>
      <c r="M368" s="1"/>
      <c r="O368" s="1"/>
    </row>
    <row r="369">
      <c r="G369" s="82"/>
      <c r="I369" s="82"/>
      <c r="J369" s="82"/>
      <c r="M369" s="1"/>
      <c r="O369" s="1"/>
    </row>
    <row r="370">
      <c r="G370" s="82"/>
      <c r="I370" s="82"/>
      <c r="J370" s="82"/>
      <c r="M370" s="1"/>
      <c r="O370" s="1"/>
    </row>
    <row r="371">
      <c r="G371" s="82"/>
      <c r="I371" s="82"/>
      <c r="J371" s="82"/>
      <c r="M371" s="1"/>
      <c r="O371" s="1"/>
    </row>
    <row r="372">
      <c r="G372" s="82"/>
      <c r="I372" s="82"/>
      <c r="J372" s="82"/>
      <c r="M372" s="1"/>
      <c r="O372" s="1"/>
    </row>
    <row r="373">
      <c r="G373" s="82"/>
      <c r="I373" s="82"/>
      <c r="J373" s="82"/>
      <c r="M373" s="1"/>
      <c r="O373" s="1"/>
    </row>
    <row r="374">
      <c r="G374" s="82"/>
      <c r="I374" s="82"/>
      <c r="J374" s="82"/>
      <c r="M374" s="1"/>
      <c r="O374" s="1"/>
    </row>
    <row r="375">
      <c r="G375" s="82"/>
      <c r="I375" s="82"/>
      <c r="J375" s="82"/>
      <c r="M375" s="1"/>
      <c r="O375" s="1"/>
    </row>
    <row r="376">
      <c r="G376" s="82"/>
      <c r="I376" s="82"/>
      <c r="J376" s="82"/>
      <c r="M376" s="1"/>
      <c r="O376" s="1"/>
    </row>
    <row r="377">
      <c r="G377" s="82"/>
      <c r="I377" s="82"/>
      <c r="J377" s="82"/>
      <c r="M377" s="1"/>
      <c r="O377" s="1"/>
    </row>
    <row r="378">
      <c r="G378" s="82"/>
      <c r="I378" s="82"/>
      <c r="J378" s="82"/>
      <c r="M378" s="1"/>
      <c r="O378" s="1"/>
    </row>
    <row r="379">
      <c r="G379" s="82"/>
      <c r="I379" s="82"/>
      <c r="J379" s="82"/>
      <c r="M379" s="1"/>
      <c r="O379" s="1"/>
    </row>
    <row r="380">
      <c r="G380" s="82"/>
      <c r="I380" s="82"/>
      <c r="J380" s="82"/>
      <c r="M380" s="1"/>
      <c r="O380" s="1"/>
    </row>
    <row r="381">
      <c r="G381" s="82"/>
      <c r="I381" s="82"/>
      <c r="J381" s="82"/>
      <c r="M381" s="1"/>
      <c r="O381" s="1"/>
    </row>
    <row r="382">
      <c r="G382" s="82"/>
      <c r="I382" s="82"/>
      <c r="J382" s="82"/>
      <c r="M382" s="1"/>
      <c r="O382" s="1"/>
    </row>
    <row r="383">
      <c r="G383" s="82"/>
      <c r="I383" s="82"/>
      <c r="J383" s="82"/>
      <c r="M383" s="1"/>
      <c r="O383" s="1"/>
    </row>
    <row r="384">
      <c r="G384" s="82"/>
      <c r="I384" s="82"/>
      <c r="J384" s="82"/>
      <c r="M384" s="1"/>
      <c r="O384" s="1"/>
    </row>
    <row r="385">
      <c r="G385" s="82"/>
      <c r="I385" s="82"/>
      <c r="J385" s="82"/>
      <c r="M385" s="1"/>
      <c r="O385" s="1"/>
    </row>
    <row r="386">
      <c r="G386" s="82"/>
      <c r="I386" s="82"/>
      <c r="J386" s="82"/>
      <c r="M386" s="1"/>
      <c r="O386" s="1"/>
    </row>
    <row r="387">
      <c r="G387" s="82"/>
      <c r="I387" s="82"/>
      <c r="J387" s="82"/>
      <c r="M387" s="1"/>
      <c r="O387" s="1"/>
    </row>
    <row r="388">
      <c r="G388" s="82"/>
      <c r="I388" s="82"/>
      <c r="J388" s="82"/>
      <c r="M388" s="1"/>
      <c r="O388" s="1"/>
    </row>
    <row r="389">
      <c r="G389" s="82"/>
      <c r="I389" s="82"/>
      <c r="J389" s="82"/>
      <c r="M389" s="1"/>
      <c r="O389" s="1"/>
    </row>
    <row r="390">
      <c r="G390" s="82"/>
      <c r="I390" s="82"/>
      <c r="J390" s="82"/>
      <c r="M390" s="1"/>
      <c r="O390" s="1"/>
    </row>
    <row r="391">
      <c r="G391" s="82"/>
      <c r="I391" s="82"/>
      <c r="J391" s="82"/>
      <c r="M391" s="1"/>
      <c r="O391" s="1"/>
    </row>
    <row r="392">
      <c r="G392" s="82"/>
      <c r="I392" s="82"/>
      <c r="J392" s="82"/>
      <c r="M392" s="1"/>
      <c r="O392" s="1"/>
    </row>
    <row r="393">
      <c r="G393" s="82"/>
      <c r="I393" s="82"/>
      <c r="J393" s="82"/>
      <c r="M393" s="1"/>
      <c r="O393" s="1"/>
    </row>
    <row r="394">
      <c r="G394" s="82"/>
      <c r="I394" s="82"/>
      <c r="J394" s="82"/>
      <c r="M394" s="1"/>
      <c r="O394" s="1"/>
    </row>
    <row r="395">
      <c r="G395" s="82"/>
      <c r="I395" s="82"/>
      <c r="J395" s="82"/>
      <c r="M395" s="1"/>
      <c r="O395" s="1"/>
    </row>
    <row r="396">
      <c r="G396" s="82"/>
      <c r="I396" s="82"/>
      <c r="J396" s="82"/>
      <c r="M396" s="1"/>
      <c r="O396" s="1"/>
    </row>
    <row r="397">
      <c r="G397" s="82"/>
      <c r="I397" s="82"/>
      <c r="J397" s="82"/>
      <c r="M397" s="1"/>
      <c r="O397" s="1"/>
    </row>
    <row r="398">
      <c r="G398" s="82"/>
      <c r="I398" s="82"/>
      <c r="J398" s="82"/>
      <c r="M398" s="1"/>
      <c r="O398" s="1"/>
    </row>
    <row r="399">
      <c r="G399" s="82"/>
      <c r="I399" s="82"/>
      <c r="J399" s="82"/>
      <c r="M399" s="1"/>
      <c r="O399" s="1"/>
    </row>
    <row r="400">
      <c r="G400" s="82"/>
      <c r="I400" s="82"/>
      <c r="J400" s="82"/>
      <c r="M400" s="1"/>
      <c r="O400" s="1"/>
    </row>
    <row r="401">
      <c r="G401" s="82"/>
      <c r="I401" s="82"/>
      <c r="J401" s="82"/>
      <c r="M401" s="1"/>
      <c r="O401" s="1"/>
    </row>
    <row r="402">
      <c r="G402" s="82"/>
      <c r="I402" s="82"/>
      <c r="J402" s="82"/>
      <c r="M402" s="1"/>
      <c r="O402" s="1"/>
    </row>
    <row r="403">
      <c r="G403" s="82"/>
      <c r="I403" s="82"/>
      <c r="J403" s="82"/>
      <c r="M403" s="1"/>
      <c r="O403" s="1"/>
    </row>
    <row r="404">
      <c r="G404" s="82"/>
      <c r="I404" s="82"/>
      <c r="J404" s="82"/>
      <c r="M404" s="1"/>
      <c r="O404" s="1"/>
    </row>
    <row r="405">
      <c r="G405" s="82"/>
      <c r="I405" s="82"/>
      <c r="J405" s="82"/>
      <c r="M405" s="1"/>
      <c r="O405" s="1"/>
    </row>
    <row r="406">
      <c r="G406" s="82"/>
      <c r="I406" s="82"/>
      <c r="J406" s="82"/>
      <c r="M406" s="1"/>
      <c r="O406" s="1"/>
    </row>
    <row r="407">
      <c r="G407" s="82"/>
      <c r="I407" s="82"/>
      <c r="J407" s="82"/>
      <c r="M407" s="1"/>
      <c r="O407" s="1"/>
    </row>
    <row r="408">
      <c r="G408" s="82"/>
      <c r="I408" s="82"/>
      <c r="J408" s="82"/>
      <c r="M408" s="1"/>
      <c r="O408" s="1"/>
    </row>
    <row r="409">
      <c r="G409" s="82"/>
      <c r="I409" s="82"/>
      <c r="J409" s="82"/>
      <c r="M409" s="1"/>
      <c r="O409" s="1"/>
    </row>
    <row r="410">
      <c r="G410" s="82"/>
      <c r="I410" s="82"/>
      <c r="J410" s="82"/>
      <c r="M410" s="1"/>
      <c r="O410" s="1"/>
    </row>
    <row r="411">
      <c r="G411" s="82"/>
      <c r="I411" s="82"/>
      <c r="J411" s="82"/>
      <c r="M411" s="1"/>
      <c r="O411" s="1"/>
    </row>
    <row r="412">
      <c r="G412" s="82"/>
      <c r="I412" s="82"/>
      <c r="J412" s="82"/>
      <c r="M412" s="1"/>
      <c r="O412" s="1"/>
    </row>
    <row r="413">
      <c r="G413" s="82"/>
      <c r="I413" s="82"/>
      <c r="J413" s="82"/>
      <c r="M413" s="1"/>
      <c r="O413" s="1"/>
    </row>
    <row r="414">
      <c r="G414" s="82"/>
      <c r="I414" s="82"/>
      <c r="J414" s="82"/>
      <c r="M414" s="1"/>
      <c r="O414" s="1"/>
    </row>
    <row r="415">
      <c r="G415" s="82"/>
      <c r="I415" s="82"/>
      <c r="J415" s="82"/>
      <c r="M415" s="1"/>
      <c r="O415" s="1"/>
    </row>
    <row r="416">
      <c r="G416" s="82"/>
      <c r="I416" s="82"/>
      <c r="J416" s="82"/>
      <c r="M416" s="1"/>
      <c r="O416" s="1"/>
    </row>
    <row r="417">
      <c r="G417" s="82"/>
      <c r="I417" s="82"/>
      <c r="J417" s="82"/>
      <c r="M417" s="1"/>
      <c r="O417" s="1"/>
    </row>
    <row r="418">
      <c r="G418" s="82"/>
      <c r="I418" s="82"/>
      <c r="J418" s="82"/>
      <c r="M418" s="1"/>
      <c r="O418" s="1"/>
    </row>
    <row r="419">
      <c r="G419" s="82"/>
      <c r="I419" s="82"/>
      <c r="J419" s="82"/>
      <c r="M419" s="1"/>
      <c r="O419" s="1"/>
    </row>
    <row r="420">
      <c r="G420" s="82"/>
      <c r="I420" s="82"/>
      <c r="J420" s="82"/>
      <c r="M420" s="1"/>
      <c r="O420" s="1"/>
    </row>
    <row r="421">
      <c r="G421" s="82"/>
      <c r="I421" s="82"/>
      <c r="J421" s="82"/>
      <c r="M421" s="1"/>
      <c r="O421" s="1"/>
    </row>
    <row r="422">
      <c r="G422" s="82"/>
      <c r="I422" s="82"/>
      <c r="J422" s="82"/>
      <c r="M422" s="1"/>
      <c r="O422" s="1"/>
    </row>
    <row r="423">
      <c r="G423" s="82"/>
      <c r="I423" s="82"/>
      <c r="J423" s="82"/>
      <c r="M423" s="1"/>
      <c r="O423" s="1"/>
    </row>
    <row r="424">
      <c r="G424" s="82"/>
      <c r="I424" s="82"/>
      <c r="J424" s="82"/>
      <c r="M424" s="1"/>
      <c r="O424" s="1"/>
    </row>
    <row r="425">
      <c r="G425" s="82"/>
      <c r="I425" s="82"/>
      <c r="J425" s="82"/>
      <c r="M425" s="1"/>
      <c r="O425" s="1"/>
    </row>
    <row r="426">
      <c r="G426" s="82"/>
      <c r="I426" s="82"/>
      <c r="J426" s="82"/>
      <c r="M426" s="1"/>
      <c r="O426" s="1"/>
    </row>
    <row r="427">
      <c r="G427" s="82"/>
      <c r="I427" s="82"/>
      <c r="J427" s="82"/>
      <c r="M427" s="1"/>
      <c r="O427" s="1"/>
    </row>
    <row r="428">
      <c r="G428" s="82"/>
      <c r="I428" s="82"/>
      <c r="J428" s="82"/>
      <c r="M428" s="1"/>
      <c r="O428" s="1"/>
    </row>
    <row r="429">
      <c r="G429" s="82"/>
      <c r="I429" s="82"/>
      <c r="J429" s="82"/>
      <c r="M429" s="1"/>
      <c r="O429" s="1"/>
    </row>
    <row r="430">
      <c r="G430" s="82"/>
      <c r="I430" s="82"/>
      <c r="J430" s="82"/>
      <c r="M430" s="1"/>
      <c r="O430" s="1"/>
    </row>
    <row r="431">
      <c r="G431" s="82"/>
      <c r="I431" s="82"/>
      <c r="J431" s="82"/>
      <c r="M431" s="1"/>
      <c r="O431" s="1"/>
    </row>
    <row r="432">
      <c r="G432" s="82"/>
      <c r="I432" s="82"/>
      <c r="J432" s="82"/>
      <c r="M432" s="1"/>
      <c r="O432" s="1"/>
    </row>
    <row r="433">
      <c r="G433" s="82"/>
      <c r="I433" s="82"/>
      <c r="J433" s="82"/>
      <c r="M433" s="1"/>
      <c r="O433" s="1"/>
    </row>
    <row r="434">
      <c r="G434" s="82"/>
      <c r="I434" s="82"/>
      <c r="J434" s="82"/>
      <c r="M434" s="1"/>
      <c r="O434" s="1"/>
    </row>
    <row r="435">
      <c r="G435" s="82"/>
      <c r="I435" s="82"/>
      <c r="J435" s="82"/>
      <c r="M435" s="1"/>
      <c r="O435" s="1"/>
    </row>
    <row r="436">
      <c r="G436" s="82"/>
      <c r="I436" s="82"/>
      <c r="J436" s="82"/>
      <c r="M436" s="1"/>
      <c r="O436" s="1"/>
    </row>
    <row r="437">
      <c r="G437" s="82"/>
      <c r="I437" s="82"/>
      <c r="J437" s="82"/>
      <c r="M437" s="1"/>
      <c r="O437" s="1"/>
    </row>
    <row r="438">
      <c r="G438" s="82"/>
      <c r="I438" s="82"/>
      <c r="J438" s="82"/>
      <c r="M438" s="1"/>
      <c r="O438" s="1"/>
    </row>
    <row r="439">
      <c r="G439" s="82"/>
      <c r="I439" s="82"/>
      <c r="J439" s="82"/>
      <c r="M439" s="1"/>
      <c r="O439" s="1"/>
    </row>
    <row r="440">
      <c r="G440" s="82"/>
      <c r="I440" s="82"/>
      <c r="J440" s="82"/>
      <c r="M440" s="1"/>
      <c r="O440" s="1"/>
    </row>
    <row r="441">
      <c r="G441" s="82"/>
      <c r="I441" s="82"/>
      <c r="J441" s="82"/>
      <c r="M441" s="1"/>
      <c r="O441" s="1"/>
    </row>
    <row r="442">
      <c r="G442" s="82"/>
      <c r="I442" s="82"/>
      <c r="J442" s="82"/>
      <c r="M442" s="1"/>
      <c r="O442" s="1"/>
    </row>
    <row r="443">
      <c r="G443" s="82"/>
      <c r="I443" s="82"/>
      <c r="J443" s="82"/>
      <c r="M443" s="1"/>
      <c r="O443" s="1"/>
    </row>
    <row r="444">
      <c r="G444" s="82"/>
      <c r="I444" s="82"/>
      <c r="J444" s="82"/>
      <c r="M444" s="1"/>
      <c r="O444" s="1"/>
    </row>
    <row r="445">
      <c r="G445" s="82"/>
      <c r="I445" s="82"/>
      <c r="J445" s="82"/>
      <c r="M445" s="1"/>
      <c r="O445" s="1"/>
    </row>
    <row r="446">
      <c r="G446" s="82"/>
      <c r="I446" s="82"/>
      <c r="J446" s="82"/>
      <c r="M446" s="1"/>
      <c r="O446" s="1"/>
    </row>
    <row r="447">
      <c r="G447" s="82"/>
      <c r="I447" s="82"/>
      <c r="J447" s="82"/>
      <c r="M447" s="1"/>
      <c r="O447" s="1"/>
    </row>
    <row r="448">
      <c r="G448" s="82"/>
      <c r="I448" s="82"/>
      <c r="J448" s="82"/>
      <c r="M448" s="1"/>
      <c r="O448" s="1"/>
    </row>
    <row r="449">
      <c r="G449" s="82"/>
      <c r="I449" s="82"/>
      <c r="J449" s="82"/>
      <c r="M449" s="1"/>
      <c r="O449" s="1"/>
    </row>
    <row r="450">
      <c r="G450" s="82"/>
      <c r="I450" s="82"/>
      <c r="J450" s="82"/>
      <c r="M450" s="1"/>
      <c r="O450" s="1"/>
    </row>
    <row r="451">
      <c r="G451" s="82"/>
      <c r="I451" s="82"/>
      <c r="J451" s="82"/>
      <c r="M451" s="1"/>
      <c r="O451" s="1"/>
    </row>
    <row r="452">
      <c r="G452" s="82"/>
      <c r="I452" s="82"/>
      <c r="J452" s="82"/>
      <c r="M452" s="1"/>
      <c r="O452" s="1"/>
    </row>
    <row r="453">
      <c r="G453" s="82"/>
      <c r="I453" s="82"/>
      <c r="J453" s="82"/>
      <c r="M453" s="1"/>
      <c r="O453" s="1"/>
    </row>
    <row r="454">
      <c r="G454" s="82"/>
      <c r="I454" s="82"/>
      <c r="J454" s="82"/>
      <c r="M454" s="1"/>
      <c r="O454" s="1"/>
    </row>
    <row r="455">
      <c r="G455" s="82"/>
      <c r="I455" s="82"/>
      <c r="J455" s="82"/>
      <c r="M455" s="1"/>
      <c r="O455" s="1"/>
    </row>
    <row r="456">
      <c r="G456" s="82"/>
      <c r="I456" s="82"/>
      <c r="J456" s="82"/>
      <c r="M456" s="1"/>
      <c r="O456" s="1"/>
    </row>
    <row r="457">
      <c r="G457" s="82"/>
      <c r="I457" s="82"/>
      <c r="J457" s="82"/>
      <c r="M457" s="1"/>
      <c r="O457" s="1"/>
    </row>
    <row r="458">
      <c r="G458" s="82"/>
      <c r="I458" s="82"/>
      <c r="J458" s="82"/>
      <c r="M458" s="1"/>
      <c r="O458" s="1"/>
    </row>
    <row r="459">
      <c r="G459" s="82"/>
      <c r="I459" s="82"/>
      <c r="J459" s="82"/>
      <c r="M459" s="1"/>
      <c r="O459" s="1"/>
    </row>
    <row r="460">
      <c r="G460" s="82"/>
      <c r="I460" s="82"/>
      <c r="J460" s="82"/>
      <c r="M460" s="1"/>
      <c r="O460" s="1"/>
    </row>
    <row r="461">
      <c r="G461" s="82"/>
      <c r="I461" s="82"/>
      <c r="J461" s="82"/>
      <c r="M461" s="1"/>
      <c r="O461" s="1"/>
    </row>
    <row r="462">
      <c r="G462" s="82"/>
      <c r="I462" s="82"/>
      <c r="J462" s="82"/>
      <c r="M462" s="1"/>
      <c r="O462" s="1"/>
    </row>
    <row r="463">
      <c r="G463" s="82"/>
      <c r="I463" s="82"/>
      <c r="J463" s="82"/>
      <c r="M463" s="1"/>
      <c r="O463" s="1"/>
    </row>
    <row r="464">
      <c r="G464" s="82"/>
      <c r="I464" s="82"/>
      <c r="J464" s="82"/>
      <c r="M464" s="1"/>
      <c r="O464" s="1"/>
    </row>
    <row r="465">
      <c r="G465" s="82"/>
      <c r="I465" s="82"/>
      <c r="J465" s="82"/>
      <c r="M465" s="1"/>
      <c r="O465" s="1"/>
    </row>
    <row r="466">
      <c r="G466" s="82"/>
      <c r="I466" s="82"/>
      <c r="J466" s="82"/>
      <c r="M466" s="1"/>
      <c r="O466" s="1"/>
    </row>
    <row r="467">
      <c r="G467" s="82"/>
      <c r="I467" s="82"/>
      <c r="J467" s="82"/>
      <c r="M467" s="1"/>
      <c r="O467" s="1"/>
    </row>
    <row r="468">
      <c r="G468" s="82"/>
      <c r="I468" s="82"/>
      <c r="J468" s="82"/>
      <c r="M468" s="1"/>
      <c r="O468" s="1"/>
    </row>
    <row r="469">
      <c r="G469" s="82"/>
      <c r="I469" s="82"/>
      <c r="J469" s="82"/>
      <c r="M469" s="1"/>
      <c r="O469" s="1"/>
    </row>
    <row r="470">
      <c r="G470" s="82"/>
      <c r="I470" s="82"/>
      <c r="J470" s="82"/>
      <c r="M470" s="1"/>
      <c r="O470" s="1"/>
    </row>
    <row r="471">
      <c r="G471" s="82"/>
      <c r="I471" s="82"/>
      <c r="J471" s="82"/>
      <c r="M471" s="1"/>
      <c r="O471" s="1"/>
    </row>
    <row r="472">
      <c r="G472" s="82"/>
      <c r="I472" s="82"/>
      <c r="J472" s="82"/>
      <c r="M472" s="1"/>
      <c r="O472" s="1"/>
    </row>
    <row r="473">
      <c r="G473" s="82"/>
      <c r="I473" s="82"/>
      <c r="J473" s="82"/>
      <c r="M473" s="1"/>
      <c r="O473" s="1"/>
    </row>
    <row r="474">
      <c r="G474" s="82"/>
      <c r="I474" s="82"/>
      <c r="J474" s="82"/>
      <c r="M474" s="1"/>
      <c r="O474" s="1"/>
    </row>
    <row r="475">
      <c r="G475" s="82"/>
      <c r="I475" s="82"/>
      <c r="J475" s="82"/>
      <c r="M475" s="1"/>
      <c r="O475" s="1"/>
    </row>
    <row r="476">
      <c r="G476" s="82"/>
      <c r="I476" s="82"/>
      <c r="J476" s="82"/>
      <c r="M476" s="1"/>
      <c r="O476" s="1"/>
    </row>
    <row r="477">
      <c r="G477" s="82"/>
      <c r="I477" s="82"/>
      <c r="J477" s="82"/>
      <c r="M477" s="1"/>
      <c r="O477" s="1"/>
    </row>
    <row r="478">
      <c r="G478" s="82"/>
      <c r="I478" s="82"/>
      <c r="J478" s="82"/>
      <c r="M478" s="1"/>
      <c r="O478" s="1"/>
    </row>
    <row r="479">
      <c r="G479" s="82"/>
      <c r="I479" s="82"/>
      <c r="J479" s="82"/>
      <c r="M479" s="1"/>
      <c r="O479" s="1"/>
    </row>
    <row r="480">
      <c r="G480" s="82"/>
      <c r="I480" s="82"/>
      <c r="J480" s="82"/>
      <c r="M480" s="1"/>
      <c r="O480" s="1"/>
    </row>
    <row r="481">
      <c r="G481" s="82"/>
      <c r="I481" s="82"/>
      <c r="J481" s="82"/>
      <c r="M481" s="1"/>
      <c r="O481" s="1"/>
    </row>
    <row r="482">
      <c r="G482" s="82"/>
      <c r="I482" s="82"/>
      <c r="J482" s="82"/>
      <c r="M482" s="1"/>
      <c r="O482" s="1"/>
    </row>
    <row r="483">
      <c r="G483" s="82"/>
      <c r="I483" s="82"/>
      <c r="J483" s="82"/>
      <c r="M483" s="1"/>
      <c r="O483" s="1"/>
    </row>
    <row r="484">
      <c r="G484" s="82"/>
      <c r="I484" s="82"/>
      <c r="J484" s="82"/>
      <c r="M484" s="1"/>
      <c r="O484" s="1"/>
    </row>
    <row r="485">
      <c r="G485" s="82"/>
      <c r="I485" s="82"/>
      <c r="J485" s="82"/>
      <c r="M485" s="1"/>
      <c r="O485" s="1"/>
    </row>
    <row r="486">
      <c r="G486" s="82"/>
      <c r="I486" s="82"/>
      <c r="J486" s="82"/>
      <c r="M486" s="1"/>
      <c r="O486" s="1"/>
    </row>
    <row r="487">
      <c r="G487" s="82"/>
      <c r="I487" s="82"/>
      <c r="J487" s="82"/>
      <c r="M487" s="1"/>
      <c r="O487" s="1"/>
    </row>
    <row r="488">
      <c r="G488" s="82"/>
      <c r="I488" s="82"/>
      <c r="J488" s="82"/>
      <c r="M488" s="1"/>
      <c r="O488" s="1"/>
    </row>
    <row r="489">
      <c r="G489" s="82"/>
      <c r="I489" s="82"/>
      <c r="J489" s="82"/>
      <c r="M489" s="1"/>
      <c r="O489" s="1"/>
    </row>
    <row r="490">
      <c r="G490" s="82"/>
      <c r="I490" s="82"/>
      <c r="J490" s="82"/>
      <c r="M490" s="1"/>
      <c r="O490" s="1"/>
    </row>
    <row r="491">
      <c r="G491" s="82"/>
      <c r="I491" s="82"/>
      <c r="J491" s="82"/>
      <c r="M491" s="1"/>
      <c r="O491" s="1"/>
    </row>
    <row r="492">
      <c r="G492" s="82"/>
      <c r="I492" s="82"/>
      <c r="J492" s="82"/>
      <c r="M492" s="1"/>
      <c r="O492" s="1"/>
    </row>
    <row r="493">
      <c r="G493" s="82"/>
      <c r="I493" s="82"/>
      <c r="J493" s="82"/>
      <c r="M493" s="1"/>
      <c r="O493" s="1"/>
    </row>
    <row r="494">
      <c r="G494" s="82"/>
      <c r="I494" s="82"/>
      <c r="J494" s="82"/>
      <c r="M494" s="1"/>
      <c r="O494" s="1"/>
    </row>
    <row r="495">
      <c r="G495" s="82"/>
      <c r="I495" s="82"/>
      <c r="J495" s="82"/>
      <c r="M495" s="1"/>
      <c r="O495" s="1"/>
    </row>
    <row r="496">
      <c r="G496" s="82"/>
      <c r="I496" s="82"/>
      <c r="J496" s="82"/>
      <c r="M496" s="1"/>
      <c r="O496" s="1"/>
    </row>
    <row r="497">
      <c r="G497" s="82"/>
      <c r="I497" s="82"/>
      <c r="J497" s="82"/>
      <c r="M497" s="1"/>
      <c r="O497" s="1"/>
    </row>
    <row r="498">
      <c r="G498" s="82"/>
      <c r="I498" s="82"/>
      <c r="J498" s="82"/>
      <c r="M498" s="1"/>
      <c r="O498" s="1"/>
    </row>
    <row r="499">
      <c r="G499" s="82"/>
      <c r="I499" s="82"/>
      <c r="J499" s="82"/>
      <c r="M499" s="1"/>
      <c r="O499" s="1"/>
    </row>
    <row r="500">
      <c r="G500" s="82"/>
      <c r="I500" s="82"/>
      <c r="J500" s="82"/>
      <c r="M500" s="1"/>
      <c r="O500" s="1"/>
    </row>
    <row r="501">
      <c r="G501" s="82"/>
      <c r="I501" s="82"/>
      <c r="J501" s="82"/>
      <c r="M501" s="1"/>
      <c r="O501" s="1"/>
    </row>
    <row r="502">
      <c r="G502" s="82"/>
      <c r="I502" s="82"/>
      <c r="J502" s="82"/>
      <c r="M502" s="1"/>
      <c r="O502" s="1"/>
    </row>
    <row r="503">
      <c r="G503" s="82"/>
      <c r="I503" s="82"/>
      <c r="J503" s="82"/>
      <c r="M503" s="1"/>
      <c r="O503" s="1"/>
    </row>
    <row r="504">
      <c r="G504" s="82"/>
      <c r="I504" s="82"/>
      <c r="J504" s="82"/>
      <c r="M504" s="1"/>
      <c r="O504" s="1"/>
    </row>
    <row r="505">
      <c r="G505" s="82"/>
      <c r="I505" s="82"/>
      <c r="J505" s="82"/>
      <c r="M505" s="1"/>
      <c r="O505" s="1"/>
    </row>
    <row r="506">
      <c r="G506" s="82"/>
      <c r="I506" s="82"/>
      <c r="J506" s="82"/>
      <c r="M506" s="1"/>
      <c r="O506" s="1"/>
    </row>
    <row r="507">
      <c r="G507" s="82"/>
      <c r="I507" s="82"/>
      <c r="J507" s="82"/>
      <c r="M507" s="1"/>
      <c r="O507" s="1"/>
    </row>
    <row r="508">
      <c r="G508" s="82"/>
      <c r="I508" s="82"/>
      <c r="J508" s="82"/>
      <c r="M508" s="1"/>
      <c r="O508" s="1"/>
    </row>
    <row r="509">
      <c r="G509" s="82"/>
      <c r="I509" s="82"/>
      <c r="J509" s="82"/>
      <c r="M509" s="1"/>
      <c r="O509" s="1"/>
    </row>
    <row r="510">
      <c r="G510" s="82"/>
      <c r="I510" s="82"/>
      <c r="J510" s="82"/>
      <c r="M510" s="1"/>
      <c r="O510" s="1"/>
    </row>
    <row r="511">
      <c r="G511" s="82"/>
      <c r="I511" s="82"/>
      <c r="J511" s="82"/>
      <c r="M511" s="1"/>
      <c r="O511" s="1"/>
    </row>
    <row r="512">
      <c r="G512" s="82"/>
      <c r="I512" s="82"/>
      <c r="J512" s="82"/>
      <c r="M512" s="1"/>
      <c r="O512" s="1"/>
    </row>
    <row r="513">
      <c r="G513" s="82"/>
      <c r="I513" s="82"/>
      <c r="J513" s="82"/>
      <c r="M513" s="1"/>
      <c r="O513" s="1"/>
    </row>
    <row r="514">
      <c r="G514" s="82"/>
      <c r="I514" s="82"/>
      <c r="J514" s="82"/>
      <c r="M514" s="1"/>
      <c r="O514" s="1"/>
    </row>
    <row r="515">
      <c r="G515" s="82"/>
      <c r="I515" s="82"/>
      <c r="J515" s="82"/>
      <c r="M515" s="1"/>
      <c r="O515" s="1"/>
    </row>
    <row r="516">
      <c r="G516" s="82"/>
      <c r="I516" s="82"/>
      <c r="J516" s="82"/>
      <c r="M516" s="1"/>
      <c r="O516" s="1"/>
    </row>
    <row r="517">
      <c r="G517" s="82"/>
      <c r="I517" s="82"/>
      <c r="J517" s="82"/>
      <c r="M517" s="1"/>
      <c r="O517" s="1"/>
    </row>
    <row r="518">
      <c r="G518" s="82"/>
      <c r="I518" s="82"/>
      <c r="J518" s="82"/>
      <c r="M518" s="1"/>
      <c r="O518" s="1"/>
    </row>
    <row r="519">
      <c r="G519" s="82"/>
      <c r="I519" s="82"/>
      <c r="J519" s="82"/>
      <c r="M519" s="1"/>
      <c r="O519" s="1"/>
    </row>
    <row r="520">
      <c r="G520" s="82"/>
      <c r="I520" s="82"/>
      <c r="J520" s="82"/>
      <c r="M520" s="1"/>
      <c r="O520" s="1"/>
    </row>
    <row r="521">
      <c r="G521" s="82"/>
      <c r="I521" s="82"/>
      <c r="J521" s="82"/>
      <c r="M521" s="1"/>
      <c r="O521" s="1"/>
    </row>
    <row r="522">
      <c r="G522" s="82"/>
      <c r="I522" s="82"/>
      <c r="J522" s="82"/>
      <c r="M522" s="1"/>
      <c r="O522" s="1"/>
    </row>
    <row r="523">
      <c r="G523" s="82"/>
      <c r="I523" s="82"/>
      <c r="J523" s="82"/>
      <c r="M523" s="1"/>
      <c r="O523" s="1"/>
    </row>
    <row r="524">
      <c r="G524" s="82"/>
      <c r="I524" s="82"/>
      <c r="J524" s="82"/>
      <c r="M524" s="1"/>
      <c r="O524" s="1"/>
    </row>
    <row r="525">
      <c r="G525" s="82"/>
      <c r="I525" s="82"/>
      <c r="J525" s="82"/>
      <c r="M525" s="1"/>
      <c r="O525" s="1"/>
    </row>
    <row r="526">
      <c r="G526" s="82"/>
      <c r="I526" s="82"/>
      <c r="J526" s="82"/>
      <c r="M526" s="1"/>
      <c r="O526" s="1"/>
    </row>
    <row r="527">
      <c r="G527" s="82"/>
      <c r="I527" s="82"/>
      <c r="J527" s="82"/>
      <c r="M527" s="1"/>
      <c r="O527" s="1"/>
    </row>
    <row r="528">
      <c r="G528" s="82"/>
      <c r="I528" s="82"/>
      <c r="J528" s="82"/>
      <c r="M528" s="1"/>
      <c r="O528" s="1"/>
    </row>
    <row r="529">
      <c r="G529" s="82"/>
      <c r="I529" s="82"/>
      <c r="J529" s="82"/>
      <c r="M529" s="1"/>
      <c r="O529" s="1"/>
    </row>
    <row r="530">
      <c r="G530" s="82"/>
      <c r="I530" s="82"/>
      <c r="J530" s="82"/>
      <c r="M530" s="1"/>
      <c r="O530" s="1"/>
    </row>
    <row r="531">
      <c r="G531" s="82"/>
      <c r="I531" s="82"/>
      <c r="J531" s="82"/>
      <c r="M531" s="1"/>
      <c r="O531" s="1"/>
    </row>
    <row r="532">
      <c r="G532" s="82"/>
      <c r="I532" s="82"/>
      <c r="J532" s="82"/>
      <c r="M532" s="1"/>
      <c r="O532" s="1"/>
    </row>
    <row r="533">
      <c r="G533" s="82"/>
      <c r="I533" s="82"/>
      <c r="J533" s="82"/>
      <c r="M533" s="1"/>
      <c r="O533" s="1"/>
    </row>
    <row r="534">
      <c r="G534" s="82"/>
      <c r="I534" s="82"/>
      <c r="J534" s="82"/>
      <c r="M534" s="1"/>
      <c r="O534" s="1"/>
    </row>
    <row r="535">
      <c r="G535" s="82"/>
      <c r="I535" s="82"/>
      <c r="J535" s="82"/>
      <c r="M535" s="1"/>
      <c r="O535" s="1"/>
    </row>
    <row r="536">
      <c r="G536" s="82"/>
      <c r="I536" s="82"/>
      <c r="J536" s="82"/>
      <c r="M536" s="1"/>
      <c r="O536" s="1"/>
    </row>
    <row r="537">
      <c r="G537" s="82"/>
      <c r="I537" s="82"/>
      <c r="J537" s="82"/>
      <c r="M537" s="1"/>
      <c r="O537" s="1"/>
    </row>
    <row r="538">
      <c r="G538" s="82"/>
      <c r="I538" s="82"/>
      <c r="J538" s="82"/>
      <c r="M538" s="1"/>
      <c r="O538" s="1"/>
    </row>
    <row r="539">
      <c r="G539" s="82"/>
      <c r="I539" s="82"/>
      <c r="J539" s="82"/>
      <c r="M539" s="1"/>
      <c r="O539" s="1"/>
    </row>
    <row r="540">
      <c r="G540" s="82"/>
      <c r="I540" s="82"/>
      <c r="J540" s="82"/>
      <c r="M540" s="1"/>
      <c r="O540" s="1"/>
    </row>
    <row r="541">
      <c r="G541" s="82"/>
      <c r="I541" s="82"/>
      <c r="J541" s="82"/>
      <c r="M541" s="1"/>
      <c r="O541" s="1"/>
    </row>
    <row r="542">
      <c r="G542" s="82"/>
      <c r="I542" s="82"/>
      <c r="J542" s="82"/>
      <c r="M542" s="1"/>
      <c r="O542" s="1"/>
    </row>
    <row r="543">
      <c r="G543" s="82"/>
      <c r="I543" s="82"/>
      <c r="J543" s="82"/>
      <c r="M543" s="1"/>
      <c r="O543" s="1"/>
    </row>
    <row r="544">
      <c r="G544" s="82"/>
      <c r="I544" s="82"/>
      <c r="J544" s="82"/>
      <c r="M544" s="1"/>
      <c r="O544" s="1"/>
    </row>
    <row r="545">
      <c r="G545" s="82"/>
      <c r="I545" s="82"/>
      <c r="J545" s="82"/>
      <c r="M545" s="1"/>
      <c r="O545" s="1"/>
    </row>
    <row r="546">
      <c r="G546" s="82"/>
      <c r="I546" s="82"/>
      <c r="J546" s="82"/>
      <c r="M546" s="1"/>
      <c r="O546" s="1"/>
    </row>
    <row r="547">
      <c r="G547" s="82"/>
      <c r="I547" s="82"/>
      <c r="J547" s="82"/>
      <c r="M547" s="1"/>
      <c r="O547" s="1"/>
    </row>
    <row r="548">
      <c r="G548" s="82"/>
      <c r="I548" s="82"/>
      <c r="J548" s="82"/>
      <c r="M548" s="1"/>
      <c r="O548" s="1"/>
    </row>
    <row r="549">
      <c r="G549" s="82"/>
      <c r="I549" s="82"/>
      <c r="J549" s="82"/>
      <c r="M549" s="1"/>
      <c r="O549" s="1"/>
    </row>
    <row r="550">
      <c r="G550" s="82"/>
      <c r="I550" s="82"/>
      <c r="J550" s="82"/>
      <c r="M550" s="1"/>
      <c r="O550" s="1"/>
    </row>
    <row r="551">
      <c r="G551" s="82"/>
      <c r="I551" s="82"/>
      <c r="J551" s="82"/>
      <c r="M551" s="1"/>
      <c r="O551" s="1"/>
    </row>
    <row r="552">
      <c r="G552" s="82"/>
      <c r="I552" s="82"/>
      <c r="J552" s="82"/>
      <c r="M552" s="1"/>
      <c r="O552" s="1"/>
    </row>
    <row r="553">
      <c r="G553" s="82"/>
      <c r="I553" s="82"/>
      <c r="J553" s="82"/>
      <c r="M553" s="1"/>
      <c r="O553" s="1"/>
    </row>
    <row r="554">
      <c r="G554" s="82"/>
      <c r="I554" s="82"/>
      <c r="J554" s="82"/>
      <c r="M554" s="1"/>
      <c r="O554" s="1"/>
    </row>
    <row r="555">
      <c r="G555" s="82"/>
      <c r="I555" s="82"/>
      <c r="J555" s="82"/>
      <c r="M555" s="1"/>
      <c r="O555" s="1"/>
    </row>
    <row r="556">
      <c r="G556" s="82"/>
      <c r="I556" s="82"/>
      <c r="J556" s="82"/>
      <c r="M556" s="1"/>
      <c r="O556" s="1"/>
    </row>
    <row r="557">
      <c r="G557" s="82"/>
      <c r="I557" s="82"/>
      <c r="J557" s="82"/>
      <c r="M557" s="1"/>
      <c r="O557" s="1"/>
    </row>
    <row r="558">
      <c r="G558" s="82"/>
      <c r="I558" s="82"/>
      <c r="J558" s="82"/>
      <c r="M558" s="1"/>
      <c r="O558" s="1"/>
    </row>
    <row r="559">
      <c r="G559" s="82"/>
      <c r="I559" s="82"/>
      <c r="J559" s="82"/>
      <c r="M559" s="1"/>
      <c r="O559" s="1"/>
    </row>
    <row r="560">
      <c r="G560" s="82"/>
      <c r="I560" s="82"/>
      <c r="J560" s="82"/>
      <c r="M560" s="1"/>
      <c r="O560" s="1"/>
    </row>
    <row r="561">
      <c r="G561" s="82"/>
      <c r="I561" s="82"/>
      <c r="J561" s="82"/>
      <c r="M561" s="1"/>
      <c r="O561" s="1"/>
    </row>
    <row r="562">
      <c r="G562" s="82"/>
      <c r="I562" s="82"/>
      <c r="J562" s="82"/>
      <c r="M562" s="1"/>
      <c r="O562" s="1"/>
    </row>
    <row r="563">
      <c r="G563" s="82"/>
      <c r="I563" s="82"/>
      <c r="J563" s="82"/>
      <c r="M563" s="1"/>
      <c r="O563" s="1"/>
    </row>
    <row r="564">
      <c r="G564" s="82"/>
      <c r="I564" s="82"/>
      <c r="J564" s="82"/>
      <c r="M564" s="1"/>
      <c r="O564" s="1"/>
    </row>
    <row r="565">
      <c r="G565" s="82"/>
      <c r="I565" s="82"/>
      <c r="J565" s="82"/>
      <c r="M565" s="1"/>
      <c r="O565" s="1"/>
    </row>
    <row r="566">
      <c r="G566" s="82"/>
      <c r="I566" s="82"/>
      <c r="J566" s="82"/>
      <c r="M566" s="1"/>
      <c r="O566" s="1"/>
    </row>
    <row r="567">
      <c r="G567" s="82"/>
      <c r="I567" s="82"/>
      <c r="J567" s="82"/>
      <c r="M567" s="1"/>
      <c r="O567" s="1"/>
    </row>
    <row r="568">
      <c r="G568" s="82"/>
      <c r="I568" s="82"/>
      <c r="J568" s="82"/>
      <c r="M568" s="1"/>
      <c r="O568" s="1"/>
    </row>
    <row r="569">
      <c r="G569" s="82"/>
      <c r="I569" s="82"/>
      <c r="J569" s="82"/>
      <c r="M569" s="1"/>
      <c r="O569" s="1"/>
    </row>
    <row r="570">
      <c r="G570" s="82"/>
      <c r="I570" s="82"/>
      <c r="J570" s="82"/>
      <c r="M570" s="1"/>
      <c r="O570" s="1"/>
    </row>
    <row r="571">
      <c r="G571" s="82"/>
      <c r="I571" s="82"/>
      <c r="J571" s="82"/>
      <c r="M571" s="1"/>
      <c r="O571" s="1"/>
    </row>
    <row r="572">
      <c r="G572" s="82"/>
      <c r="I572" s="82"/>
      <c r="J572" s="82"/>
      <c r="M572" s="1"/>
      <c r="O572" s="1"/>
    </row>
    <row r="573">
      <c r="G573" s="82"/>
      <c r="I573" s="82"/>
      <c r="J573" s="82"/>
      <c r="M573" s="1"/>
      <c r="O573" s="1"/>
    </row>
    <row r="574">
      <c r="G574" s="82"/>
      <c r="I574" s="82"/>
      <c r="J574" s="82"/>
      <c r="M574" s="1"/>
      <c r="O574" s="1"/>
    </row>
    <row r="575">
      <c r="G575" s="82"/>
      <c r="I575" s="82"/>
      <c r="J575" s="82"/>
      <c r="M575" s="1"/>
      <c r="O575" s="1"/>
    </row>
    <row r="576">
      <c r="G576" s="82"/>
      <c r="I576" s="82"/>
      <c r="J576" s="82"/>
      <c r="M576" s="1"/>
      <c r="O576" s="1"/>
    </row>
    <row r="577">
      <c r="G577" s="82"/>
      <c r="I577" s="82"/>
      <c r="J577" s="82"/>
      <c r="M577" s="1"/>
      <c r="O577" s="1"/>
    </row>
    <row r="578">
      <c r="G578" s="82"/>
      <c r="I578" s="82"/>
      <c r="J578" s="82"/>
      <c r="M578" s="1"/>
      <c r="O578" s="1"/>
    </row>
    <row r="579">
      <c r="G579" s="82"/>
      <c r="I579" s="82"/>
      <c r="J579" s="82"/>
      <c r="M579" s="1"/>
      <c r="O579" s="1"/>
    </row>
    <row r="580">
      <c r="G580" s="82"/>
      <c r="I580" s="82"/>
      <c r="J580" s="82"/>
      <c r="M580" s="1"/>
      <c r="O580" s="1"/>
    </row>
    <row r="581">
      <c r="G581" s="82"/>
      <c r="I581" s="82"/>
      <c r="J581" s="82"/>
      <c r="M581" s="1"/>
      <c r="O581" s="1"/>
    </row>
    <row r="582">
      <c r="G582" s="82"/>
      <c r="I582" s="82"/>
      <c r="J582" s="82"/>
      <c r="M582" s="1"/>
      <c r="O582" s="1"/>
    </row>
    <row r="583">
      <c r="G583" s="82"/>
      <c r="I583" s="82"/>
      <c r="J583" s="82"/>
      <c r="M583" s="1"/>
      <c r="O583" s="1"/>
    </row>
    <row r="584">
      <c r="G584" s="82"/>
      <c r="I584" s="82"/>
      <c r="J584" s="82"/>
      <c r="M584" s="1"/>
      <c r="O584" s="1"/>
    </row>
    <row r="585">
      <c r="G585" s="82"/>
      <c r="I585" s="82"/>
      <c r="J585" s="82"/>
      <c r="M585" s="1"/>
      <c r="O585" s="1"/>
    </row>
    <row r="586">
      <c r="G586" s="82"/>
      <c r="I586" s="82"/>
      <c r="J586" s="82"/>
      <c r="M586" s="1"/>
      <c r="O586" s="1"/>
    </row>
    <row r="587">
      <c r="G587" s="82"/>
      <c r="I587" s="82"/>
      <c r="J587" s="82"/>
      <c r="M587" s="1"/>
      <c r="O587" s="1"/>
    </row>
    <row r="588">
      <c r="G588" s="82"/>
      <c r="I588" s="82"/>
      <c r="J588" s="82"/>
      <c r="M588" s="1"/>
      <c r="O588" s="1"/>
    </row>
    <row r="589">
      <c r="G589" s="82"/>
      <c r="I589" s="82"/>
      <c r="J589" s="82"/>
      <c r="M589" s="1"/>
      <c r="O589" s="1"/>
    </row>
    <row r="590">
      <c r="G590" s="82"/>
      <c r="I590" s="82"/>
      <c r="J590" s="82"/>
      <c r="M590" s="1"/>
      <c r="O590" s="1"/>
    </row>
    <row r="591">
      <c r="G591" s="82"/>
      <c r="I591" s="82"/>
      <c r="J591" s="82"/>
      <c r="M591" s="1"/>
      <c r="O591" s="1"/>
    </row>
    <row r="592">
      <c r="G592" s="82"/>
      <c r="I592" s="82"/>
      <c r="J592" s="82"/>
      <c r="M592" s="1"/>
      <c r="O592" s="1"/>
    </row>
    <row r="593">
      <c r="G593" s="82"/>
      <c r="I593" s="82"/>
      <c r="J593" s="82"/>
      <c r="M593" s="1"/>
      <c r="O593" s="1"/>
    </row>
    <row r="594">
      <c r="G594" s="82"/>
      <c r="I594" s="82"/>
      <c r="J594" s="82"/>
      <c r="M594" s="1"/>
      <c r="O594" s="1"/>
    </row>
    <row r="595">
      <c r="G595" s="82"/>
      <c r="I595" s="82"/>
      <c r="J595" s="82"/>
      <c r="M595" s="1"/>
      <c r="O595" s="1"/>
    </row>
    <row r="596">
      <c r="G596" s="82"/>
      <c r="I596" s="82"/>
      <c r="J596" s="82"/>
      <c r="M596" s="1"/>
      <c r="O596" s="1"/>
    </row>
    <row r="597">
      <c r="G597" s="82"/>
      <c r="I597" s="82"/>
      <c r="J597" s="82"/>
      <c r="M597" s="1"/>
      <c r="O597" s="1"/>
    </row>
    <row r="598">
      <c r="G598" s="82"/>
      <c r="I598" s="82"/>
      <c r="J598" s="82"/>
      <c r="M598" s="1"/>
      <c r="O598" s="1"/>
    </row>
    <row r="599">
      <c r="G599" s="82"/>
      <c r="I599" s="82"/>
      <c r="J599" s="82"/>
      <c r="M599" s="1"/>
      <c r="O599" s="1"/>
    </row>
    <row r="600">
      <c r="G600" s="82"/>
      <c r="I600" s="82"/>
      <c r="J600" s="82"/>
      <c r="M600" s="1"/>
      <c r="O600" s="1"/>
    </row>
    <row r="601">
      <c r="G601" s="82"/>
      <c r="I601" s="82"/>
      <c r="J601" s="82"/>
      <c r="M601" s="1"/>
      <c r="O601" s="1"/>
    </row>
    <row r="602">
      <c r="G602" s="82"/>
      <c r="I602" s="82"/>
      <c r="J602" s="82"/>
      <c r="M602" s="1"/>
      <c r="O602" s="1"/>
    </row>
    <row r="603">
      <c r="G603" s="82"/>
      <c r="I603" s="82"/>
      <c r="J603" s="82"/>
      <c r="M603" s="1"/>
      <c r="O603" s="1"/>
    </row>
    <row r="604">
      <c r="G604" s="82"/>
      <c r="I604" s="82"/>
      <c r="J604" s="82"/>
      <c r="M604" s="1"/>
      <c r="O604" s="1"/>
    </row>
    <row r="605">
      <c r="G605" s="82"/>
      <c r="I605" s="82"/>
      <c r="J605" s="82"/>
      <c r="M605" s="1"/>
      <c r="O605" s="1"/>
    </row>
    <row r="606">
      <c r="G606" s="82"/>
      <c r="I606" s="82"/>
      <c r="J606" s="82"/>
      <c r="M606" s="1"/>
      <c r="O606" s="1"/>
    </row>
    <row r="607">
      <c r="G607" s="82"/>
      <c r="I607" s="82"/>
      <c r="J607" s="82"/>
      <c r="M607" s="1"/>
      <c r="O607" s="1"/>
    </row>
    <row r="608">
      <c r="G608" s="82"/>
      <c r="I608" s="82"/>
      <c r="J608" s="82"/>
      <c r="M608" s="1"/>
      <c r="O608" s="1"/>
    </row>
    <row r="609">
      <c r="G609" s="82"/>
      <c r="I609" s="82"/>
      <c r="J609" s="82"/>
      <c r="M609" s="1"/>
      <c r="O609" s="1"/>
    </row>
    <row r="610">
      <c r="G610" s="82"/>
      <c r="I610" s="82"/>
      <c r="J610" s="82"/>
      <c r="M610" s="1"/>
      <c r="O610" s="1"/>
    </row>
    <row r="611">
      <c r="G611" s="82"/>
      <c r="I611" s="82"/>
      <c r="J611" s="82"/>
      <c r="M611" s="1"/>
      <c r="O611" s="1"/>
    </row>
    <row r="612">
      <c r="G612" s="82"/>
      <c r="I612" s="82"/>
      <c r="J612" s="82"/>
      <c r="M612" s="1"/>
      <c r="O612" s="1"/>
    </row>
    <row r="613">
      <c r="G613" s="82"/>
      <c r="I613" s="82"/>
      <c r="J613" s="82"/>
      <c r="M613" s="1"/>
      <c r="O613" s="1"/>
    </row>
    <row r="614">
      <c r="G614" s="82"/>
      <c r="I614" s="82"/>
      <c r="J614" s="82"/>
      <c r="M614" s="1"/>
      <c r="O614" s="1"/>
    </row>
    <row r="615">
      <c r="G615" s="82"/>
      <c r="I615" s="82"/>
      <c r="J615" s="82"/>
      <c r="M615" s="1"/>
      <c r="O615" s="1"/>
    </row>
    <row r="616">
      <c r="G616" s="82"/>
      <c r="I616" s="82"/>
      <c r="J616" s="82"/>
      <c r="M616" s="1"/>
      <c r="O616" s="1"/>
    </row>
    <row r="617">
      <c r="G617" s="82"/>
      <c r="I617" s="82"/>
      <c r="J617" s="82"/>
      <c r="M617" s="1"/>
      <c r="O617" s="1"/>
    </row>
    <row r="618">
      <c r="G618" s="82"/>
      <c r="I618" s="82"/>
      <c r="J618" s="82"/>
      <c r="M618" s="1"/>
      <c r="O618" s="1"/>
    </row>
    <row r="619">
      <c r="G619" s="82"/>
      <c r="I619" s="82"/>
      <c r="J619" s="82"/>
      <c r="M619" s="1"/>
      <c r="O619" s="1"/>
    </row>
    <row r="620">
      <c r="G620" s="82"/>
      <c r="I620" s="82"/>
      <c r="J620" s="82"/>
      <c r="M620" s="1"/>
      <c r="O620" s="1"/>
    </row>
    <row r="621">
      <c r="G621" s="82"/>
      <c r="I621" s="82"/>
      <c r="J621" s="82"/>
      <c r="M621" s="1"/>
      <c r="O621" s="1"/>
    </row>
    <row r="622">
      <c r="G622" s="82"/>
      <c r="I622" s="82"/>
      <c r="J622" s="82"/>
      <c r="M622" s="1"/>
      <c r="O622" s="1"/>
    </row>
    <row r="623">
      <c r="G623" s="82"/>
      <c r="I623" s="82"/>
      <c r="J623" s="82"/>
      <c r="M623" s="1"/>
      <c r="O623" s="1"/>
    </row>
    <row r="624">
      <c r="G624" s="82"/>
      <c r="I624" s="82"/>
      <c r="J624" s="82"/>
      <c r="M624" s="1"/>
      <c r="O624" s="1"/>
    </row>
    <row r="625">
      <c r="G625" s="82"/>
      <c r="I625" s="82"/>
      <c r="J625" s="82"/>
      <c r="M625" s="1"/>
      <c r="O625" s="1"/>
    </row>
    <row r="626">
      <c r="G626" s="82"/>
      <c r="I626" s="82"/>
      <c r="J626" s="82"/>
      <c r="M626" s="1"/>
      <c r="O626" s="1"/>
    </row>
    <row r="627">
      <c r="G627" s="82"/>
      <c r="I627" s="82"/>
      <c r="J627" s="82"/>
      <c r="M627" s="1"/>
      <c r="O627" s="1"/>
    </row>
    <row r="628">
      <c r="G628" s="82"/>
      <c r="I628" s="82"/>
      <c r="J628" s="82"/>
      <c r="M628" s="1"/>
      <c r="O628" s="1"/>
    </row>
    <row r="629">
      <c r="G629" s="82"/>
      <c r="I629" s="82"/>
      <c r="J629" s="82"/>
      <c r="M629" s="1"/>
      <c r="O629" s="1"/>
    </row>
    <row r="630">
      <c r="G630" s="82"/>
      <c r="I630" s="82"/>
      <c r="J630" s="82"/>
      <c r="M630" s="1"/>
      <c r="O630" s="1"/>
    </row>
    <row r="631">
      <c r="G631" s="82"/>
      <c r="I631" s="82"/>
      <c r="J631" s="82"/>
      <c r="M631" s="1"/>
      <c r="O631" s="1"/>
    </row>
    <row r="632">
      <c r="G632" s="82"/>
      <c r="I632" s="82"/>
      <c r="J632" s="82"/>
      <c r="M632" s="1"/>
      <c r="O632" s="1"/>
    </row>
    <row r="633">
      <c r="G633" s="82"/>
      <c r="I633" s="82"/>
      <c r="J633" s="82"/>
      <c r="M633" s="1"/>
      <c r="O633" s="1"/>
    </row>
    <row r="634">
      <c r="G634" s="82"/>
      <c r="I634" s="82"/>
      <c r="J634" s="82"/>
      <c r="M634" s="1"/>
      <c r="O634" s="1"/>
    </row>
    <row r="635">
      <c r="G635" s="82"/>
      <c r="I635" s="82"/>
      <c r="J635" s="82"/>
      <c r="M635" s="1"/>
      <c r="O635" s="1"/>
    </row>
    <row r="636">
      <c r="G636" s="82"/>
      <c r="I636" s="82"/>
      <c r="J636" s="82"/>
      <c r="M636" s="1"/>
      <c r="O636" s="1"/>
    </row>
    <row r="637">
      <c r="G637" s="82"/>
      <c r="I637" s="82"/>
      <c r="J637" s="82"/>
      <c r="M637" s="1"/>
      <c r="O637" s="1"/>
    </row>
    <row r="638">
      <c r="G638" s="82"/>
      <c r="I638" s="82"/>
      <c r="J638" s="82"/>
      <c r="M638" s="1"/>
      <c r="O638" s="1"/>
    </row>
    <row r="639">
      <c r="G639" s="82"/>
      <c r="I639" s="82"/>
      <c r="J639" s="82"/>
      <c r="M639" s="1"/>
      <c r="O639" s="1"/>
    </row>
    <row r="640">
      <c r="G640" s="82"/>
      <c r="I640" s="82"/>
      <c r="J640" s="82"/>
      <c r="M640" s="1"/>
      <c r="O640" s="1"/>
    </row>
    <row r="641">
      <c r="G641" s="82"/>
      <c r="I641" s="82"/>
      <c r="J641" s="82"/>
      <c r="M641" s="1"/>
      <c r="O641" s="1"/>
    </row>
    <row r="642">
      <c r="G642" s="82"/>
      <c r="I642" s="82"/>
      <c r="J642" s="82"/>
      <c r="M642" s="1"/>
      <c r="O642" s="1"/>
    </row>
    <row r="643">
      <c r="G643" s="82"/>
      <c r="I643" s="82"/>
      <c r="J643" s="82"/>
      <c r="M643" s="1"/>
      <c r="O643" s="1"/>
    </row>
    <row r="644">
      <c r="G644" s="82"/>
      <c r="I644" s="82"/>
      <c r="J644" s="82"/>
      <c r="M644" s="1"/>
      <c r="O644" s="1"/>
    </row>
    <row r="645">
      <c r="G645" s="82"/>
      <c r="I645" s="82"/>
      <c r="J645" s="82"/>
      <c r="M645" s="1"/>
      <c r="O645" s="1"/>
    </row>
    <row r="646">
      <c r="G646" s="82"/>
      <c r="I646" s="82"/>
      <c r="J646" s="82"/>
      <c r="M646" s="1"/>
      <c r="O646" s="1"/>
    </row>
    <row r="647">
      <c r="G647" s="82"/>
      <c r="I647" s="82"/>
      <c r="J647" s="82"/>
      <c r="M647" s="1"/>
      <c r="O647" s="1"/>
    </row>
    <row r="648">
      <c r="G648" s="82"/>
      <c r="I648" s="82"/>
      <c r="J648" s="82"/>
      <c r="M648" s="1"/>
      <c r="O648" s="1"/>
    </row>
    <row r="649">
      <c r="G649" s="82"/>
      <c r="I649" s="82"/>
      <c r="J649" s="82"/>
      <c r="M649" s="1"/>
      <c r="O649" s="1"/>
    </row>
    <row r="650">
      <c r="G650" s="82"/>
      <c r="I650" s="82"/>
      <c r="J650" s="82"/>
      <c r="M650" s="1"/>
      <c r="O650" s="1"/>
    </row>
    <row r="651">
      <c r="G651" s="82"/>
      <c r="I651" s="82"/>
      <c r="J651" s="82"/>
      <c r="M651" s="1"/>
      <c r="O651" s="1"/>
    </row>
    <row r="652">
      <c r="G652" s="82"/>
      <c r="I652" s="82"/>
      <c r="J652" s="82"/>
      <c r="M652" s="1"/>
      <c r="O652" s="1"/>
    </row>
    <row r="653">
      <c r="G653" s="82"/>
      <c r="I653" s="82"/>
      <c r="J653" s="82"/>
      <c r="M653" s="1"/>
      <c r="O653" s="1"/>
    </row>
    <row r="654">
      <c r="G654" s="82"/>
      <c r="I654" s="82"/>
      <c r="J654" s="82"/>
      <c r="M654" s="1"/>
      <c r="O654" s="1"/>
    </row>
    <row r="655">
      <c r="G655" s="82"/>
      <c r="I655" s="82"/>
      <c r="J655" s="82"/>
      <c r="M655" s="1"/>
      <c r="O655" s="1"/>
    </row>
    <row r="656">
      <c r="G656" s="82"/>
      <c r="I656" s="82"/>
      <c r="J656" s="82"/>
      <c r="M656" s="1"/>
      <c r="O656" s="1"/>
    </row>
    <row r="657">
      <c r="G657" s="82"/>
      <c r="I657" s="82"/>
      <c r="J657" s="82"/>
      <c r="M657" s="1"/>
      <c r="O657" s="1"/>
    </row>
    <row r="658">
      <c r="G658" s="82"/>
      <c r="I658" s="82"/>
      <c r="J658" s="82"/>
      <c r="M658" s="1"/>
      <c r="O658" s="1"/>
    </row>
    <row r="659">
      <c r="G659" s="82"/>
      <c r="I659" s="82"/>
      <c r="J659" s="82"/>
      <c r="M659" s="1"/>
      <c r="O659" s="1"/>
    </row>
    <row r="660">
      <c r="G660" s="82"/>
      <c r="I660" s="82"/>
      <c r="J660" s="82"/>
      <c r="M660" s="1"/>
      <c r="O660" s="1"/>
    </row>
    <row r="661">
      <c r="G661" s="82"/>
      <c r="I661" s="82"/>
      <c r="J661" s="82"/>
      <c r="M661" s="1"/>
      <c r="O661" s="1"/>
    </row>
    <row r="662">
      <c r="G662" s="82"/>
      <c r="I662" s="82"/>
      <c r="J662" s="82"/>
      <c r="M662" s="1"/>
      <c r="O662" s="1"/>
    </row>
    <row r="663">
      <c r="G663" s="82"/>
      <c r="I663" s="82"/>
      <c r="J663" s="82"/>
      <c r="M663" s="1"/>
      <c r="O663" s="1"/>
    </row>
    <row r="664">
      <c r="G664" s="82"/>
      <c r="I664" s="82"/>
      <c r="J664" s="82"/>
      <c r="M664" s="1"/>
      <c r="O664" s="1"/>
    </row>
    <row r="665">
      <c r="G665" s="82"/>
      <c r="I665" s="82"/>
      <c r="J665" s="82"/>
      <c r="M665" s="1"/>
      <c r="O665" s="1"/>
    </row>
    <row r="666">
      <c r="G666" s="82"/>
      <c r="I666" s="82"/>
      <c r="J666" s="82"/>
      <c r="M666" s="1"/>
      <c r="O666" s="1"/>
    </row>
    <row r="667">
      <c r="G667" s="82"/>
      <c r="I667" s="82"/>
      <c r="J667" s="82"/>
      <c r="M667" s="1"/>
      <c r="O667" s="1"/>
    </row>
    <row r="668">
      <c r="G668" s="82"/>
      <c r="I668" s="82"/>
      <c r="J668" s="82"/>
      <c r="M668" s="1"/>
      <c r="O668" s="1"/>
    </row>
    <row r="669">
      <c r="G669" s="82"/>
      <c r="I669" s="82"/>
      <c r="J669" s="82"/>
      <c r="M669" s="1"/>
      <c r="O669" s="1"/>
    </row>
    <row r="670">
      <c r="G670" s="82"/>
      <c r="I670" s="82"/>
      <c r="J670" s="82"/>
      <c r="M670" s="1"/>
      <c r="O670" s="1"/>
    </row>
    <row r="671">
      <c r="G671" s="82"/>
      <c r="I671" s="82"/>
      <c r="J671" s="82"/>
      <c r="M671" s="1"/>
      <c r="O671" s="1"/>
    </row>
    <row r="672">
      <c r="G672" s="82"/>
      <c r="I672" s="82"/>
      <c r="J672" s="82"/>
      <c r="M672" s="1"/>
      <c r="O672" s="1"/>
    </row>
    <row r="673">
      <c r="G673" s="82"/>
      <c r="I673" s="82"/>
      <c r="J673" s="82"/>
      <c r="M673" s="1"/>
      <c r="O673" s="1"/>
    </row>
    <row r="674">
      <c r="G674" s="82"/>
      <c r="I674" s="82"/>
      <c r="J674" s="82"/>
      <c r="M674" s="1"/>
      <c r="O674" s="1"/>
    </row>
    <row r="675">
      <c r="G675" s="82"/>
      <c r="I675" s="82"/>
      <c r="J675" s="82"/>
      <c r="M675" s="1"/>
      <c r="O675" s="1"/>
    </row>
    <row r="676">
      <c r="G676" s="82"/>
      <c r="I676" s="82"/>
      <c r="J676" s="82"/>
      <c r="M676" s="1"/>
      <c r="O676" s="1"/>
    </row>
    <row r="677">
      <c r="G677" s="82"/>
      <c r="I677" s="82"/>
      <c r="J677" s="82"/>
      <c r="M677" s="1"/>
      <c r="O677" s="1"/>
    </row>
    <row r="678">
      <c r="G678" s="82"/>
      <c r="I678" s="82"/>
      <c r="J678" s="82"/>
      <c r="M678" s="1"/>
      <c r="O678" s="1"/>
    </row>
    <row r="679">
      <c r="G679" s="82"/>
      <c r="I679" s="82"/>
      <c r="J679" s="82"/>
      <c r="M679" s="1"/>
      <c r="O679" s="1"/>
    </row>
    <row r="680">
      <c r="G680" s="82"/>
      <c r="I680" s="82"/>
      <c r="J680" s="82"/>
      <c r="M680" s="1"/>
      <c r="O680" s="1"/>
    </row>
    <row r="681">
      <c r="G681" s="82"/>
      <c r="I681" s="82"/>
      <c r="J681" s="82"/>
      <c r="M681" s="1"/>
      <c r="O681" s="1"/>
    </row>
    <row r="682">
      <c r="G682" s="82"/>
      <c r="I682" s="82"/>
      <c r="J682" s="82"/>
      <c r="M682" s="1"/>
      <c r="O682" s="1"/>
    </row>
    <row r="683">
      <c r="G683" s="82"/>
      <c r="I683" s="82"/>
      <c r="J683" s="82"/>
      <c r="M683" s="1"/>
      <c r="O683" s="1"/>
    </row>
    <row r="684">
      <c r="G684" s="82"/>
      <c r="I684" s="82"/>
      <c r="J684" s="82"/>
      <c r="M684" s="1"/>
      <c r="O684" s="1"/>
    </row>
    <row r="685">
      <c r="G685" s="82"/>
      <c r="I685" s="82"/>
      <c r="J685" s="82"/>
      <c r="M685" s="1"/>
      <c r="O685" s="1"/>
    </row>
    <row r="686">
      <c r="G686" s="82"/>
      <c r="I686" s="82"/>
      <c r="J686" s="82"/>
      <c r="M686" s="1"/>
      <c r="O686" s="1"/>
    </row>
    <row r="687">
      <c r="G687" s="82"/>
      <c r="I687" s="82"/>
      <c r="J687" s="82"/>
      <c r="M687" s="1"/>
      <c r="O687" s="1"/>
    </row>
    <row r="688">
      <c r="G688" s="82"/>
      <c r="I688" s="82"/>
      <c r="J688" s="82"/>
      <c r="M688" s="1"/>
      <c r="O688" s="1"/>
    </row>
    <row r="689">
      <c r="G689" s="82"/>
      <c r="I689" s="82"/>
      <c r="J689" s="82"/>
      <c r="M689" s="1"/>
      <c r="O689" s="1"/>
    </row>
    <row r="690">
      <c r="G690" s="82"/>
      <c r="I690" s="82"/>
      <c r="J690" s="82"/>
      <c r="M690" s="1"/>
      <c r="O690" s="1"/>
    </row>
    <row r="691">
      <c r="G691" s="82"/>
      <c r="I691" s="82"/>
      <c r="J691" s="82"/>
      <c r="M691" s="1"/>
      <c r="O691" s="1"/>
    </row>
    <row r="692">
      <c r="G692" s="82"/>
      <c r="I692" s="82"/>
      <c r="J692" s="82"/>
      <c r="M692" s="1"/>
      <c r="O692" s="1"/>
    </row>
    <row r="693">
      <c r="G693" s="82"/>
      <c r="I693" s="82"/>
      <c r="J693" s="82"/>
      <c r="M693" s="1"/>
      <c r="O693" s="1"/>
    </row>
    <row r="694">
      <c r="G694" s="82"/>
      <c r="I694" s="82"/>
      <c r="J694" s="82"/>
      <c r="M694" s="1"/>
      <c r="O694" s="1"/>
    </row>
    <row r="695">
      <c r="G695" s="82"/>
      <c r="I695" s="82"/>
      <c r="J695" s="82"/>
      <c r="M695" s="1"/>
      <c r="O695" s="1"/>
    </row>
    <row r="696">
      <c r="G696" s="82"/>
      <c r="I696" s="82"/>
      <c r="J696" s="82"/>
      <c r="M696" s="1"/>
      <c r="O696" s="1"/>
    </row>
    <row r="697">
      <c r="G697" s="82"/>
      <c r="I697" s="82"/>
      <c r="J697" s="82"/>
      <c r="M697" s="1"/>
      <c r="O697" s="1"/>
    </row>
    <row r="698">
      <c r="G698" s="82"/>
      <c r="I698" s="82"/>
      <c r="J698" s="82"/>
      <c r="M698" s="1"/>
      <c r="O698" s="1"/>
    </row>
    <row r="699">
      <c r="G699" s="82"/>
      <c r="I699" s="82"/>
      <c r="J699" s="82"/>
      <c r="M699" s="1"/>
      <c r="O699" s="1"/>
    </row>
    <row r="700">
      <c r="G700" s="82"/>
      <c r="I700" s="82"/>
      <c r="J700" s="82"/>
      <c r="M700" s="1"/>
      <c r="O700" s="1"/>
    </row>
    <row r="701">
      <c r="G701" s="82"/>
      <c r="I701" s="82"/>
      <c r="J701" s="82"/>
      <c r="M701" s="1"/>
      <c r="O701" s="1"/>
    </row>
    <row r="702">
      <c r="G702" s="82"/>
      <c r="I702" s="82"/>
      <c r="J702" s="82"/>
      <c r="M702" s="1"/>
      <c r="O702" s="1"/>
    </row>
    <row r="703">
      <c r="G703" s="82"/>
      <c r="I703" s="82"/>
      <c r="J703" s="82"/>
      <c r="M703" s="1"/>
      <c r="O703" s="1"/>
    </row>
    <row r="704">
      <c r="G704" s="82"/>
      <c r="I704" s="82"/>
      <c r="J704" s="82"/>
      <c r="M704" s="1"/>
      <c r="O704" s="1"/>
    </row>
    <row r="705">
      <c r="G705" s="82"/>
      <c r="I705" s="82"/>
      <c r="J705" s="82"/>
      <c r="M705" s="1"/>
      <c r="O705" s="1"/>
    </row>
    <row r="706">
      <c r="G706" s="82"/>
      <c r="I706" s="82"/>
      <c r="J706" s="82"/>
      <c r="M706" s="1"/>
      <c r="O706" s="1"/>
    </row>
    <row r="707">
      <c r="G707" s="82"/>
      <c r="I707" s="82"/>
      <c r="J707" s="82"/>
      <c r="M707" s="1"/>
      <c r="O707" s="1"/>
    </row>
    <row r="708">
      <c r="G708" s="82"/>
      <c r="I708" s="82"/>
      <c r="J708" s="82"/>
      <c r="M708" s="1"/>
      <c r="O708" s="1"/>
    </row>
    <row r="709">
      <c r="G709" s="82"/>
      <c r="I709" s="82"/>
      <c r="J709" s="82"/>
      <c r="M709" s="1"/>
      <c r="O709" s="1"/>
    </row>
    <row r="710">
      <c r="G710" s="82"/>
      <c r="I710" s="82"/>
      <c r="J710" s="82"/>
      <c r="M710" s="1"/>
      <c r="O710" s="1"/>
    </row>
    <row r="711">
      <c r="G711" s="82"/>
      <c r="I711" s="82"/>
      <c r="J711" s="82"/>
      <c r="M711" s="1"/>
      <c r="O711" s="1"/>
    </row>
    <row r="712">
      <c r="G712" s="82"/>
      <c r="I712" s="82"/>
      <c r="J712" s="82"/>
      <c r="M712" s="1"/>
      <c r="O712" s="1"/>
    </row>
    <row r="713">
      <c r="G713" s="82"/>
      <c r="I713" s="82"/>
      <c r="J713" s="82"/>
      <c r="M713" s="1"/>
      <c r="O713" s="1"/>
    </row>
    <row r="714">
      <c r="G714" s="82"/>
      <c r="I714" s="82"/>
      <c r="J714" s="82"/>
      <c r="M714" s="1"/>
      <c r="O714" s="1"/>
    </row>
    <row r="715">
      <c r="G715" s="82"/>
      <c r="I715" s="82"/>
      <c r="J715" s="82"/>
      <c r="M715" s="1"/>
      <c r="O715" s="1"/>
    </row>
    <row r="716">
      <c r="G716" s="82"/>
      <c r="I716" s="82"/>
      <c r="J716" s="82"/>
      <c r="M716" s="1"/>
      <c r="O716" s="1"/>
    </row>
    <row r="717">
      <c r="G717" s="82"/>
      <c r="I717" s="82"/>
      <c r="J717" s="82"/>
      <c r="M717" s="1"/>
      <c r="O717" s="1"/>
    </row>
    <row r="718">
      <c r="G718" s="82"/>
      <c r="I718" s="82"/>
      <c r="J718" s="82"/>
      <c r="M718" s="1"/>
      <c r="O718" s="1"/>
    </row>
    <row r="719">
      <c r="G719" s="82"/>
      <c r="I719" s="82"/>
      <c r="J719" s="82"/>
      <c r="M719" s="1"/>
      <c r="O719" s="1"/>
    </row>
    <row r="720">
      <c r="G720" s="82"/>
      <c r="I720" s="82"/>
      <c r="J720" s="82"/>
      <c r="M720" s="1"/>
      <c r="O720" s="1"/>
    </row>
    <row r="721">
      <c r="G721" s="82"/>
      <c r="I721" s="82"/>
      <c r="J721" s="82"/>
      <c r="M721" s="1"/>
      <c r="O721" s="1"/>
    </row>
    <row r="722">
      <c r="G722" s="82"/>
      <c r="I722" s="82"/>
      <c r="J722" s="82"/>
      <c r="M722" s="1"/>
      <c r="O722" s="1"/>
    </row>
    <row r="723">
      <c r="G723" s="82"/>
      <c r="I723" s="82"/>
      <c r="J723" s="82"/>
      <c r="M723" s="1"/>
      <c r="O723" s="1"/>
    </row>
    <row r="724">
      <c r="G724" s="82"/>
      <c r="I724" s="82"/>
      <c r="J724" s="82"/>
      <c r="M724" s="1"/>
      <c r="O724" s="1"/>
    </row>
    <row r="725">
      <c r="G725" s="82"/>
      <c r="I725" s="82"/>
      <c r="J725" s="82"/>
      <c r="M725" s="1"/>
      <c r="O725" s="1"/>
    </row>
    <row r="726">
      <c r="G726" s="82"/>
      <c r="I726" s="82"/>
      <c r="J726" s="82"/>
      <c r="M726" s="1"/>
      <c r="O726" s="1"/>
    </row>
    <row r="727">
      <c r="G727" s="82"/>
      <c r="I727" s="82"/>
      <c r="J727" s="82"/>
      <c r="M727" s="1"/>
      <c r="O727" s="1"/>
    </row>
    <row r="728">
      <c r="G728" s="82"/>
      <c r="I728" s="82"/>
      <c r="J728" s="82"/>
      <c r="M728" s="1"/>
      <c r="O728" s="1"/>
    </row>
    <row r="729">
      <c r="G729" s="82"/>
      <c r="I729" s="82"/>
      <c r="J729" s="82"/>
      <c r="M729" s="1"/>
      <c r="O729" s="1"/>
    </row>
    <row r="730">
      <c r="G730" s="82"/>
      <c r="I730" s="82"/>
      <c r="J730" s="82"/>
      <c r="M730" s="1"/>
      <c r="O730" s="1"/>
    </row>
    <row r="731">
      <c r="G731" s="82"/>
      <c r="I731" s="82"/>
      <c r="J731" s="82"/>
      <c r="M731" s="1"/>
      <c r="O731" s="1"/>
    </row>
    <row r="732">
      <c r="G732" s="82"/>
      <c r="I732" s="82"/>
      <c r="J732" s="82"/>
      <c r="M732" s="1"/>
      <c r="O732" s="1"/>
    </row>
    <row r="733">
      <c r="G733" s="82"/>
      <c r="I733" s="82"/>
      <c r="J733" s="82"/>
      <c r="M733" s="1"/>
      <c r="O733" s="1"/>
    </row>
    <row r="734">
      <c r="G734" s="82"/>
      <c r="I734" s="82"/>
      <c r="J734" s="82"/>
      <c r="M734" s="1"/>
      <c r="O734" s="1"/>
    </row>
    <row r="735">
      <c r="G735" s="82"/>
      <c r="I735" s="82"/>
      <c r="J735" s="82"/>
      <c r="M735" s="1"/>
      <c r="O735" s="1"/>
    </row>
    <row r="736">
      <c r="G736" s="82"/>
      <c r="I736" s="82"/>
      <c r="J736" s="82"/>
      <c r="M736" s="1"/>
      <c r="O736" s="1"/>
    </row>
    <row r="737">
      <c r="G737" s="82"/>
      <c r="I737" s="82"/>
      <c r="J737" s="82"/>
      <c r="M737" s="1"/>
      <c r="O737" s="1"/>
    </row>
    <row r="738">
      <c r="G738" s="82"/>
      <c r="I738" s="82"/>
      <c r="J738" s="82"/>
      <c r="M738" s="1"/>
      <c r="O738" s="1"/>
    </row>
    <row r="739">
      <c r="G739" s="82"/>
      <c r="I739" s="82"/>
      <c r="J739" s="82"/>
      <c r="M739" s="1"/>
      <c r="O739" s="1"/>
    </row>
    <row r="740">
      <c r="G740" s="82"/>
      <c r="I740" s="82"/>
      <c r="J740" s="82"/>
      <c r="M740" s="1"/>
      <c r="O740" s="1"/>
    </row>
    <row r="741">
      <c r="G741" s="82"/>
      <c r="I741" s="82"/>
      <c r="J741" s="82"/>
      <c r="M741" s="1"/>
      <c r="O741" s="1"/>
    </row>
    <row r="742">
      <c r="G742" s="82"/>
      <c r="I742" s="82"/>
      <c r="J742" s="82"/>
      <c r="M742" s="1"/>
      <c r="O742" s="1"/>
    </row>
    <row r="743">
      <c r="G743" s="82"/>
      <c r="I743" s="82"/>
      <c r="J743" s="82"/>
      <c r="M743" s="1"/>
      <c r="O743" s="1"/>
    </row>
    <row r="744">
      <c r="G744" s="82"/>
      <c r="I744" s="82"/>
      <c r="J744" s="82"/>
      <c r="M744" s="1"/>
      <c r="O744" s="1"/>
    </row>
    <row r="745">
      <c r="G745" s="82"/>
      <c r="I745" s="82"/>
      <c r="J745" s="82"/>
      <c r="M745" s="1"/>
      <c r="O745" s="1"/>
    </row>
    <row r="746">
      <c r="G746" s="82"/>
      <c r="I746" s="82"/>
      <c r="J746" s="82"/>
      <c r="M746" s="1"/>
      <c r="O746" s="1"/>
    </row>
    <row r="747">
      <c r="G747" s="82"/>
      <c r="I747" s="82"/>
      <c r="J747" s="82"/>
      <c r="M747" s="1"/>
      <c r="O747" s="1"/>
    </row>
    <row r="748">
      <c r="G748" s="82"/>
      <c r="I748" s="82"/>
      <c r="J748" s="82"/>
      <c r="M748" s="1"/>
      <c r="O748" s="1"/>
    </row>
    <row r="749">
      <c r="G749" s="82"/>
      <c r="I749" s="82"/>
      <c r="J749" s="82"/>
      <c r="M749" s="1"/>
      <c r="O749" s="1"/>
    </row>
    <row r="750">
      <c r="G750" s="82"/>
      <c r="I750" s="82"/>
      <c r="J750" s="82"/>
      <c r="M750" s="1"/>
      <c r="O750" s="1"/>
    </row>
    <row r="751">
      <c r="G751" s="82"/>
      <c r="I751" s="82"/>
      <c r="J751" s="82"/>
      <c r="M751" s="1"/>
      <c r="O751" s="1"/>
    </row>
    <row r="752">
      <c r="G752" s="82"/>
      <c r="I752" s="82"/>
      <c r="J752" s="82"/>
      <c r="M752" s="1"/>
      <c r="O752" s="1"/>
    </row>
    <row r="753">
      <c r="G753" s="82"/>
      <c r="I753" s="82"/>
      <c r="J753" s="82"/>
      <c r="M753" s="1"/>
      <c r="O753" s="1"/>
    </row>
    <row r="754">
      <c r="G754" s="82"/>
      <c r="I754" s="82"/>
      <c r="J754" s="82"/>
      <c r="M754" s="1"/>
      <c r="O754" s="1"/>
    </row>
    <row r="755">
      <c r="G755" s="82"/>
      <c r="I755" s="82"/>
      <c r="J755" s="82"/>
      <c r="M755" s="1"/>
      <c r="O755" s="1"/>
    </row>
    <row r="756">
      <c r="G756" s="82"/>
      <c r="I756" s="82"/>
      <c r="J756" s="82"/>
      <c r="M756" s="1"/>
      <c r="O756" s="1"/>
    </row>
    <row r="757">
      <c r="G757" s="82"/>
      <c r="I757" s="82"/>
      <c r="J757" s="82"/>
      <c r="M757" s="1"/>
      <c r="O757" s="1"/>
    </row>
    <row r="758">
      <c r="G758" s="82"/>
      <c r="I758" s="82"/>
      <c r="J758" s="82"/>
      <c r="M758" s="1"/>
      <c r="O758" s="1"/>
    </row>
    <row r="759">
      <c r="G759" s="82"/>
      <c r="I759" s="82"/>
      <c r="J759" s="82"/>
      <c r="M759" s="1"/>
      <c r="O759" s="1"/>
    </row>
    <row r="760">
      <c r="G760" s="82"/>
      <c r="I760" s="82"/>
      <c r="J760" s="82"/>
      <c r="M760" s="1"/>
      <c r="O760" s="1"/>
    </row>
    <row r="761">
      <c r="G761" s="82"/>
      <c r="I761" s="82"/>
      <c r="J761" s="82"/>
      <c r="M761" s="1"/>
      <c r="O761" s="1"/>
    </row>
    <row r="762">
      <c r="G762" s="82"/>
      <c r="I762" s="82"/>
      <c r="J762" s="82"/>
      <c r="M762" s="1"/>
      <c r="O762" s="1"/>
    </row>
    <row r="763">
      <c r="G763" s="82"/>
      <c r="I763" s="82"/>
      <c r="J763" s="82"/>
      <c r="M763" s="1"/>
      <c r="O763" s="1"/>
    </row>
    <row r="764">
      <c r="G764" s="82"/>
      <c r="I764" s="82"/>
      <c r="J764" s="82"/>
      <c r="M764" s="1"/>
      <c r="O764" s="1"/>
    </row>
    <row r="765">
      <c r="G765" s="82"/>
      <c r="I765" s="82"/>
      <c r="J765" s="82"/>
      <c r="M765" s="1"/>
      <c r="O765" s="1"/>
    </row>
    <row r="766">
      <c r="G766" s="82"/>
      <c r="I766" s="82"/>
      <c r="J766" s="82"/>
      <c r="M766" s="1"/>
      <c r="O766" s="1"/>
    </row>
    <row r="767">
      <c r="G767" s="82"/>
      <c r="I767" s="82"/>
      <c r="J767" s="82"/>
      <c r="M767" s="1"/>
      <c r="O767" s="1"/>
    </row>
    <row r="768">
      <c r="G768" s="82"/>
      <c r="I768" s="82"/>
      <c r="J768" s="82"/>
      <c r="M768" s="1"/>
      <c r="O768" s="1"/>
    </row>
    <row r="769">
      <c r="G769" s="82"/>
      <c r="I769" s="82"/>
      <c r="J769" s="82"/>
      <c r="M769" s="1"/>
      <c r="O769" s="1"/>
    </row>
    <row r="770">
      <c r="G770" s="82"/>
      <c r="I770" s="82"/>
      <c r="J770" s="82"/>
      <c r="M770" s="1"/>
      <c r="O770" s="1"/>
    </row>
    <row r="771">
      <c r="G771" s="82"/>
      <c r="I771" s="82"/>
      <c r="J771" s="82"/>
      <c r="M771" s="1"/>
      <c r="O771" s="1"/>
    </row>
    <row r="772">
      <c r="G772" s="82"/>
      <c r="I772" s="82"/>
      <c r="J772" s="82"/>
      <c r="M772" s="1"/>
      <c r="O772" s="1"/>
    </row>
    <row r="773">
      <c r="G773" s="82"/>
      <c r="I773" s="82"/>
      <c r="J773" s="82"/>
      <c r="M773" s="1"/>
      <c r="O773" s="1"/>
    </row>
    <row r="774">
      <c r="G774" s="82"/>
      <c r="I774" s="82"/>
      <c r="J774" s="82"/>
      <c r="M774" s="1"/>
      <c r="O774" s="1"/>
    </row>
    <row r="775">
      <c r="G775" s="82"/>
      <c r="I775" s="82"/>
      <c r="J775" s="82"/>
      <c r="M775" s="1"/>
      <c r="O775" s="1"/>
    </row>
    <row r="776">
      <c r="G776" s="82"/>
      <c r="I776" s="82"/>
      <c r="J776" s="82"/>
      <c r="M776" s="1"/>
      <c r="O776" s="1"/>
    </row>
    <row r="777">
      <c r="G777" s="82"/>
      <c r="I777" s="82"/>
      <c r="J777" s="82"/>
      <c r="M777" s="1"/>
      <c r="O777" s="1"/>
    </row>
    <row r="778">
      <c r="G778" s="82"/>
      <c r="I778" s="82"/>
      <c r="J778" s="82"/>
      <c r="M778" s="1"/>
      <c r="O778" s="1"/>
    </row>
    <row r="779">
      <c r="G779" s="82"/>
      <c r="I779" s="82"/>
      <c r="J779" s="82"/>
      <c r="M779" s="1"/>
      <c r="O779" s="1"/>
    </row>
    <row r="780">
      <c r="G780" s="82"/>
      <c r="I780" s="82"/>
      <c r="J780" s="82"/>
      <c r="M780" s="1"/>
      <c r="O780" s="1"/>
    </row>
    <row r="781">
      <c r="G781" s="82"/>
      <c r="I781" s="82"/>
      <c r="J781" s="82"/>
      <c r="M781" s="1"/>
      <c r="O781" s="1"/>
    </row>
    <row r="782">
      <c r="G782" s="82"/>
      <c r="I782" s="82"/>
      <c r="J782" s="82"/>
      <c r="M782" s="1"/>
      <c r="O782" s="1"/>
    </row>
    <row r="783">
      <c r="G783" s="82"/>
      <c r="I783" s="82"/>
      <c r="J783" s="82"/>
      <c r="M783" s="1"/>
      <c r="O783" s="1"/>
    </row>
    <row r="784">
      <c r="G784" s="82"/>
      <c r="I784" s="82"/>
      <c r="J784" s="82"/>
      <c r="M784" s="1"/>
      <c r="O784" s="1"/>
    </row>
    <row r="785">
      <c r="G785" s="82"/>
      <c r="I785" s="82"/>
      <c r="J785" s="82"/>
      <c r="M785" s="1"/>
      <c r="O785" s="1"/>
    </row>
    <row r="786">
      <c r="G786" s="82"/>
      <c r="I786" s="82"/>
      <c r="J786" s="82"/>
      <c r="M786" s="1"/>
      <c r="O786" s="1"/>
    </row>
    <row r="787">
      <c r="G787" s="82"/>
      <c r="I787" s="82"/>
      <c r="J787" s="82"/>
      <c r="M787" s="1"/>
      <c r="O787" s="1"/>
    </row>
    <row r="788">
      <c r="G788" s="82"/>
      <c r="I788" s="82"/>
      <c r="J788" s="82"/>
      <c r="M788" s="1"/>
      <c r="O788" s="1"/>
    </row>
    <row r="789">
      <c r="G789" s="82"/>
      <c r="I789" s="82"/>
      <c r="J789" s="82"/>
      <c r="M789" s="1"/>
      <c r="O789" s="1"/>
    </row>
    <row r="790">
      <c r="G790" s="82"/>
      <c r="I790" s="82"/>
      <c r="J790" s="82"/>
      <c r="M790" s="1"/>
      <c r="O790" s="1"/>
    </row>
    <row r="791">
      <c r="G791" s="82"/>
      <c r="I791" s="82"/>
      <c r="J791" s="82"/>
      <c r="M791" s="1"/>
      <c r="O791" s="1"/>
    </row>
    <row r="792">
      <c r="G792" s="82"/>
      <c r="I792" s="82"/>
      <c r="J792" s="82"/>
      <c r="M792" s="1"/>
      <c r="O792" s="1"/>
    </row>
    <row r="793">
      <c r="G793" s="82"/>
      <c r="I793" s="82"/>
      <c r="J793" s="82"/>
      <c r="M793" s="1"/>
      <c r="O793" s="1"/>
    </row>
    <row r="794">
      <c r="G794" s="82"/>
      <c r="I794" s="82"/>
      <c r="J794" s="82"/>
      <c r="M794" s="1"/>
      <c r="O794" s="1"/>
    </row>
    <row r="795">
      <c r="G795" s="82"/>
      <c r="I795" s="82"/>
      <c r="J795" s="82"/>
      <c r="M795" s="1"/>
      <c r="O795" s="1"/>
    </row>
    <row r="796">
      <c r="G796" s="82"/>
      <c r="I796" s="82"/>
      <c r="J796" s="82"/>
      <c r="M796" s="1"/>
      <c r="O796" s="1"/>
    </row>
    <row r="797">
      <c r="G797" s="82"/>
      <c r="I797" s="82"/>
      <c r="J797" s="82"/>
      <c r="M797" s="1"/>
      <c r="O797" s="1"/>
    </row>
    <row r="798">
      <c r="G798" s="82"/>
      <c r="I798" s="82"/>
      <c r="J798" s="82"/>
      <c r="M798" s="1"/>
      <c r="O798" s="1"/>
    </row>
    <row r="799">
      <c r="G799" s="82"/>
      <c r="I799" s="82"/>
      <c r="J799" s="82"/>
      <c r="M799" s="1"/>
      <c r="O799" s="1"/>
    </row>
    <row r="800">
      <c r="G800" s="82"/>
      <c r="I800" s="82"/>
      <c r="J800" s="82"/>
      <c r="M800" s="1"/>
      <c r="O800" s="1"/>
    </row>
    <row r="801">
      <c r="G801" s="82"/>
      <c r="I801" s="82"/>
      <c r="J801" s="82"/>
      <c r="M801" s="1"/>
      <c r="O801" s="1"/>
    </row>
    <row r="802">
      <c r="G802" s="82"/>
      <c r="I802" s="82"/>
      <c r="J802" s="82"/>
      <c r="M802" s="1"/>
      <c r="O802" s="1"/>
    </row>
    <row r="803">
      <c r="G803" s="82"/>
      <c r="I803" s="82"/>
      <c r="J803" s="82"/>
      <c r="M803" s="1"/>
      <c r="O803" s="1"/>
    </row>
    <row r="804">
      <c r="G804" s="82"/>
      <c r="I804" s="82"/>
      <c r="J804" s="82"/>
      <c r="M804" s="1"/>
      <c r="O804" s="1"/>
    </row>
    <row r="805">
      <c r="G805" s="82"/>
      <c r="I805" s="82"/>
      <c r="J805" s="82"/>
      <c r="M805" s="1"/>
      <c r="O805" s="1"/>
    </row>
    <row r="806">
      <c r="G806" s="82"/>
      <c r="I806" s="82"/>
      <c r="J806" s="82"/>
      <c r="M806" s="1"/>
      <c r="O806" s="1"/>
    </row>
    <row r="807">
      <c r="G807" s="82"/>
      <c r="I807" s="82"/>
      <c r="J807" s="82"/>
      <c r="M807" s="1"/>
      <c r="O807" s="1"/>
    </row>
    <row r="808">
      <c r="G808" s="82"/>
      <c r="I808" s="82"/>
      <c r="J808" s="82"/>
      <c r="M808" s="1"/>
      <c r="O808" s="1"/>
    </row>
    <row r="809">
      <c r="G809" s="82"/>
      <c r="I809" s="82"/>
      <c r="J809" s="82"/>
      <c r="M809" s="1"/>
      <c r="O809" s="1"/>
    </row>
    <row r="810">
      <c r="G810" s="82"/>
      <c r="I810" s="82"/>
      <c r="J810" s="82"/>
      <c r="M810" s="1"/>
      <c r="O810" s="1"/>
    </row>
    <row r="811">
      <c r="G811" s="82"/>
      <c r="I811" s="82"/>
      <c r="J811" s="82"/>
      <c r="M811" s="1"/>
      <c r="O811" s="1"/>
    </row>
    <row r="812">
      <c r="G812" s="82"/>
      <c r="I812" s="82"/>
      <c r="J812" s="82"/>
      <c r="M812" s="1"/>
      <c r="O812" s="1"/>
    </row>
    <row r="813">
      <c r="G813" s="82"/>
      <c r="I813" s="82"/>
      <c r="J813" s="82"/>
      <c r="M813" s="1"/>
      <c r="O813" s="1"/>
    </row>
    <row r="814">
      <c r="G814" s="82"/>
      <c r="I814" s="82"/>
      <c r="J814" s="82"/>
      <c r="M814" s="1"/>
      <c r="O814" s="1"/>
    </row>
    <row r="815">
      <c r="G815" s="82"/>
      <c r="I815" s="82"/>
      <c r="J815" s="82"/>
      <c r="M815" s="1"/>
      <c r="O815" s="1"/>
    </row>
    <row r="816">
      <c r="G816" s="82"/>
      <c r="I816" s="82"/>
      <c r="J816" s="82"/>
      <c r="M816" s="1"/>
      <c r="O816" s="1"/>
    </row>
    <row r="817">
      <c r="G817" s="82"/>
      <c r="I817" s="82"/>
      <c r="J817" s="82"/>
      <c r="M817" s="1"/>
      <c r="O817" s="1"/>
    </row>
    <row r="818">
      <c r="G818" s="82"/>
      <c r="I818" s="82"/>
      <c r="J818" s="82"/>
      <c r="M818" s="1"/>
      <c r="O818" s="1"/>
    </row>
    <row r="819">
      <c r="G819" s="82"/>
      <c r="I819" s="82"/>
      <c r="J819" s="82"/>
      <c r="M819" s="1"/>
      <c r="O819" s="1"/>
    </row>
    <row r="820">
      <c r="G820" s="82"/>
      <c r="I820" s="82"/>
      <c r="J820" s="82"/>
      <c r="M820" s="1"/>
      <c r="O820" s="1"/>
    </row>
    <row r="821">
      <c r="G821" s="82"/>
      <c r="I821" s="82"/>
      <c r="J821" s="82"/>
      <c r="M821" s="1"/>
      <c r="O821" s="1"/>
    </row>
    <row r="822">
      <c r="G822" s="82"/>
      <c r="I822" s="82"/>
      <c r="J822" s="82"/>
      <c r="M822" s="1"/>
      <c r="O822" s="1"/>
    </row>
    <row r="823">
      <c r="G823" s="82"/>
      <c r="I823" s="82"/>
      <c r="J823" s="82"/>
      <c r="M823" s="1"/>
      <c r="O823" s="1"/>
    </row>
    <row r="824">
      <c r="G824" s="82"/>
      <c r="I824" s="82"/>
      <c r="J824" s="82"/>
      <c r="M824" s="1"/>
      <c r="O824" s="1"/>
    </row>
    <row r="825">
      <c r="G825" s="82"/>
      <c r="I825" s="82"/>
      <c r="J825" s="82"/>
      <c r="M825" s="1"/>
      <c r="O825" s="1"/>
    </row>
    <row r="826">
      <c r="G826" s="82"/>
      <c r="I826" s="82"/>
      <c r="J826" s="82"/>
      <c r="M826" s="1"/>
      <c r="O826" s="1"/>
    </row>
    <row r="827">
      <c r="G827" s="82"/>
      <c r="I827" s="82"/>
      <c r="J827" s="82"/>
      <c r="M827" s="1"/>
      <c r="O827" s="1"/>
    </row>
    <row r="828">
      <c r="G828" s="82"/>
      <c r="I828" s="82"/>
      <c r="J828" s="82"/>
      <c r="M828" s="1"/>
      <c r="O828" s="1"/>
    </row>
    <row r="829">
      <c r="G829" s="82"/>
      <c r="I829" s="82"/>
      <c r="J829" s="82"/>
      <c r="M829" s="1"/>
      <c r="O829" s="1"/>
    </row>
    <row r="830">
      <c r="G830" s="82"/>
      <c r="I830" s="82"/>
      <c r="J830" s="82"/>
      <c r="M830" s="1"/>
      <c r="O830" s="1"/>
    </row>
    <row r="831">
      <c r="G831" s="82"/>
      <c r="I831" s="82"/>
      <c r="J831" s="82"/>
      <c r="M831" s="1"/>
      <c r="O831" s="1"/>
    </row>
    <row r="832">
      <c r="G832" s="82"/>
      <c r="I832" s="82"/>
      <c r="J832" s="82"/>
      <c r="M832" s="1"/>
      <c r="O832" s="1"/>
    </row>
    <row r="833">
      <c r="G833" s="82"/>
      <c r="I833" s="82"/>
      <c r="J833" s="82"/>
      <c r="M833" s="1"/>
      <c r="O833" s="1"/>
    </row>
    <row r="834">
      <c r="G834" s="82"/>
      <c r="I834" s="82"/>
      <c r="J834" s="82"/>
      <c r="M834" s="1"/>
      <c r="O834" s="1"/>
    </row>
    <row r="835">
      <c r="G835" s="82"/>
      <c r="I835" s="82"/>
      <c r="J835" s="82"/>
      <c r="M835" s="1"/>
      <c r="O835" s="1"/>
    </row>
    <row r="836">
      <c r="G836" s="82"/>
      <c r="I836" s="82"/>
      <c r="J836" s="82"/>
      <c r="M836" s="1"/>
      <c r="O836" s="1"/>
    </row>
    <row r="837">
      <c r="G837" s="82"/>
      <c r="I837" s="82"/>
      <c r="J837" s="82"/>
      <c r="M837" s="1"/>
      <c r="O837" s="1"/>
    </row>
    <row r="838">
      <c r="G838" s="82"/>
      <c r="I838" s="82"/>
      <c r="J838" s="82"/>
      <c r="M838" s="1"/>
      <c r="O838" s="1"/>
    </row>
    <row r="839">
      <c r="G839" s="82"/>
      <c r="I839" s="82"/>
      <c r="J839" s="82"/>
      <c r="M839" s="1"/>
      <c r="O839" s="1"/>
    </row>
    <row r="840">
      <c r="G840" s="82"/>
      <c r="I840" s="82"/>
      <c r="J840" s="82"/>
      <c r="M840" s="1"/>
      <c r="O840" s="1"/>
    </row>
    <row r="841">
      <c r="G841" s="82"/>
      <c r="I841" s="82"/>
      <c r="J841" s="82"/>
      <c r="M841" s="1"/>
      <c r="O841" s="1"/>
    </row>
    <row r="842">
      <c r="G842" s="82"/>
      <c r="I842" s="82"/>
      <c r="J842" s="82"/>
      <c r="M842" s="1"/>
      <c r="O842" s="1"/>
    </row>
    <row r="843">
      <c r="G843" s="82"/>
      <c r="I843" s="82"/>
      <c r="J843" s="82"/>
      <c r="M843" s="1"/>
      <c r="O843" s="1"/>
    </row>
    <row r="844">
      <c r="G844" s="82"/>
      <c r="I844" s="82"/>
      <c r="J844" s="82"/>
      <c r="M844" s="1"/>
      <c r="O844" s="1"/>
    </row>
    <row r="845">
      <c r="G845" s="82"/>
      <c r="I845" s="82"/>
      <c r="J845" s="82"/>
      <c r="M845" s="1"/>
      <c r="O845" s="1"/>
    </row>
    <row r="846">
      <c r="G846" s="82"/>
      <c r="I846" s="82"/>
      <c r="J846" s="82"/>
      <c r="M846" s="1"/>
      <c r="O846" s="1"/>
    </row>
    <row r="847">
      <c r="G847" s="82"/>
      <c r="I847" s="82"/>
      <c r="J847" s="82"/>
      <c r="M847" s="1"/>
      <c r="O847" s="1"/>
    </row>
    <row r="848">
      <c r="G848" s="82"/>
      <c r="I848" s="82"/>
      <c r="J848" s="82"/>
      <c r="M848" s="1"/>
      <c r="O848" s="1"/>
    </row>
    <row r="849">
      <c r="G849" s="82"/>
      <c r="I849" s="82"/>
      <c r="J849" s="82"/>
      <c r="M849" s="1"/>
      <c r="O849" s="1"/>
    </row>
    <row r="850">
      <c r="G850" s="82"/>
      <c r="I850" s="82"/>
      <c r="J850" s="82"/>
      <c r="M850" s="1"/>
      <c r="O850" s="1"/>
    </row>
    <row r="851">
      <c r="G851" s="82"/>
      <c r="I851" s="82"/>
      <c r="J851" s="82"/>
      <c r="M851" s="1"/>
      <c r="O851" s="1"/>
    </row>
    <row r="852">
      <c r="G852" s="82"/>
      <c r="I852" s="82"/>
      <c r="J852" s="82"/>
      <c r="M852" s="1"/>
      <c r="O852" s="1"/>
    </row>
    <row r="853">
      <c r="G853" s="82"/>
      <c r="I853" s="82"/>
      <c r="J853" s="82"/>
      <c r="M853" s="1"/>
      <c r="O853" s="1"/>
    </row>
    <row r="854">
      <c r="G854" s="82"/>
      <c r="I854" s="82"/>
      <c r="J854" s="82"/>
      <c r="M854" s="1"/>
      <c r="O854" s="1"/>
    </row>
    <row r="855">
      <c r="G855" s="82"/>
      <c r="I855" s="82"/>
      <c r="J855" s="82"/>
      <c r="M855" s="1"/>
      <c r="O855" s="1"/>
    </row>
    <row r="856">
      <c r="G856" s="82"/>
      <c r="I856" s="82"/>
      <c r="J856" s="82"/>
      <c r="M856" s="1"/>
      <c r="O856" s="1"/>
    </row>
    <row r="857">
      <c r="G857" s="82"/>
      <c r="I857" s="82"/>
      <c r="J857" s="82"/>
      <c r="M857" s="1"/>
      <c r="O857" s="1"/>
    </row>
    <row r="858">
      <c r="G858" s="82"/>
      <c r="I858" s="82"/>
      <c r="J858" s="82"/>
      <c r="M858" s="1"/>
      <c r="O858" s="1"/>
    </row>
    <row r="859">
      <c r="G859" s="82"/>
      <c r="I859" s="82"/>
      <c r="J859" s="82"/>
      <c r="M859" s="1"/>
      <c r="O859" s="1"/>
    </row>
    <row r="860">
      <c r="G860" s="82"/>
      <c r="I860" s="82"/>
      <c r="J860" s="82"/>
      <c r="M860" s="1"/>
      <c r="O860" s="1"/>
    </row>
    <row r="861">
      <c r="G861" s="82"/>
      <c r="I861" s="82"/>
      <c r="J861" s="82"/>
      <c r="M861" s="1"/>
      <c r="O861" s="1"/>
    </row>
    <row r="862">
      <c r="G862" s="82"/>
      <c r="I862" s="82"/>
      <c r="J862" s="82"/>
      <c r="M862" s="1"/>
      <c r="O862" s="1"/>
    </row>
    <row r="863">
      <c r="G863" s="82"/>
      <c r="I863" s="82"/>
      <c r="J863" s="82"/>
      <c r="M863" s="1"/>
      <c r="O863" s="1"/>
    </row>
    <row r="864">
      <c r="G864" s="82"/>
      <c r="I864" s="82"/>
      <c r="J864" s="82"/>
      <c r="M864" s="1"/>
      <c r="O864" s="1"/>
    </row>
    <row r="865">
      <c r="G865" s="82"/>
      <c r="I865" s="82"/>
      <c r="J865" s="82"/>
      <c r="M865" s="1"/>
      <c r="O865" s="1"/>
    </row>
    <row r="866">
      <c r="G866" s="82"/>
      <c r="I866" s="82"/>
      <c r="J866" s="82"/>
      <c r="M866" s="1"/>
      <c r="O866" s="1"/>
    </row>
    <row r="867">
      <c r="G867" s="82"/>
      <c r="I867" s="82"/>
      <c r="J867" s="82"/>
      <c r="M867" s="1"/>
      <c r="O867" s="1"/>
    </row>
    <row r="868">
      <c r="G868" s="82"/>
      <c r="I868" s="82"/>
      <c r="J868" s="82"/>
      <c r="M868" s="1"/>
      <c r="O868" s="1"/>
    </row>
    <row r="869">
      <c r="G869" s="82"/>
      <c r="I869" s="82"/>
      <c r="J869" s="82"/>
      <c r="M869" s="1"/>
      <c r="O869" s="1"/>
    </row>
    <row r="870">
      <c r="G870" s="82"/>
      <c r="I870" s="82"/>
      <c r="J870" s="82"/>
      <c r="M870" s="1"/>
      <c r="O870" s="1"/>
    </row>
    <row r="871">
      <c r="G871" s="82"/>
      <c r="I871" s="82"/>
      <c r="J871" s="82"/>
      <c r="M871" s="1"/>
      <c r="O871" s="1"/>
    </row>
    <row r="872">
      <c r="G872" s="82"/>
      <c r="I872" s="82"/>
      <c r="J872" s="82"/>
      <c r="M872" s="1"/>
      <c r="O872" s="1"/>
    </row>
    <row r="873">
      <c r="G873" s="82"/>
      <c r="I873" s="82"/>
      <c r="J873" s="82"/>
      <c r="M873" s="1"/>
      <c r="O873" s="1"/>
    </row>
    <row r="874">
      <c r="G874" s="82"/>
      <c r="I874" s="82"/>
      <c r="J874" s="82"/>
      <c r="M874" s="1"/>
      <c r="O874" s="1"/>
    </row>
    <row r="875">
      <c r="G875" s="82"/>
      <c r="I875" s="82"/>
      <c r="J875" s="82"/>
      <c r="M875" s="1"/>
      <c r="O875" s="1"/>
    </row>
    <row r="876">
      <c r="G876" s="82"/>
      <c r="I876" s="82"/>
      <c r="J876" s="82"/>
      <c r="M876" s="1"/>
      <c r="O876" s="1"/>
    </row>
    <row r="877">
      <c r="G877" s="82"/>
      <c r="I877" s="82"/>
      <c r="J877" s="82"/>
      <c r="M877" s="1"/>
      <c r="O877" s="1"/>
    </row>
    <row r="878">
      <c r="G878" s="82"/>
      <c r="I878" s="82"/>
      <c r="J878" s="82"/>
      <c r="M878" s="1"/>
      <c r="O878" s="1"/>
    </row>
    <row r="879">
      <c r="G879" s="82"/>
      <c r="I879" s="82"/>
      <c r="J879" s="82"/>
      <c r="M879" s="1"/>
      <c r="O879" s="1"/>
    </row>
    <row r="880">
      <c r="G880" s="82"/>
      <c r="I880" s="82"/>
      <c r="J880" s="82"/>
      <c r="M880" s="1"/>
      <c r="O880" s="1"/>
    </row>
    <row r="881">
      <c r="G881" s="82"/>
      <c r="I881" s="82"/>
      <c r="J881" s="82"/>
      <c r="M881" s="1"/>
      <c r="O881" s="1"/>
    </row>
    <row r="882">
      <c r="G882" s="82"/>
      <c r="I882" s="82"/>
      <c r="J882" s="82"/>
      <c r="M882" s="1"/>
      <c r="O882" s="1"/>
    </row>
    <row r="883">
      <c r="G883" s="82"/>
      <c r="I883" s="82"/>
      <c r="J883" s="82"/>
      <c r="M883" s="1"/>
      <c r="O883" s="1"/>
    </row>
    <row r="884">
      <c r="G884" s="82"/>
      <c r="I884" s="82"/>
      <c r="J884" s="82"/>
      <c r="M884" s="1"/>
      <c r="O884" s="1"/>
    </row>
    <row r="885">
      <c r="G885" s="82"/>
      <c r="I885" s="82"/>
      <c r="J885" s="82"/>
      <c r="M885" s="1"/>
      <c r="O885" s="1"/>
    </row>
    <row r="886">
      <c r="G886" s="82"/>
      <c r="I886" s="82"/>
      <c r="J886" s="82"/>
      <c r="M886" s="1"/>
      <c r="O886" s="1"/>
    </row>
    <row r="887">
      <c r="G887" s="82"/>
      <c r="I887" s="82"/>
      <c r="J887" s="82"/>
      <c r="M887" s="1"/>
      <c r="O887" s="1"/>
    </row>
    <row r="888">
      <c r="G888" s="82"/>
      <c r="I888" s="82"/>
      <c r="J888" s="82"/>
      <c r="M888" s="1"/>
      <c r="O888" s="1"/>
    </row>
    <row r="889">
      <c r="G889" s="82"/>
      <c r="I889" s="82"/>
      <c r="J889" s="82"/>
      <c r="M889" s="1"/>
      <c r="O889" s="1"/>
    </row>
    <row r="890">
      <c r="G890" s="82"/>
      <c r="I890" s="82"/>
      <c r="J890" s="82"/>
      <c r="M890" s="1"/>
      <c r="O890" s="1"/>
    </row>
    <row r="891">
      <c r="G891" s="82"/>
      <c r="I891" s="82"/>
      <c r="J891" s="82"/>
      <c r="M891" s="1"/>
      <c r="O891" s="1"/>
    </row>
    <row r="892">
      <c r="G892" s="82"/>
      <c r="I892" s="82"/>
      <c r="J892" s="82"/>
      <c r="M892" s="1"/>
      <c r="O892" s="1"/>
    </row>
    <row r="893">
      <c r="G893" s="82"/>
      <c r="I893" s="82"/>
      <c r="J893" s="82"/>
      <c r="M893" s="1"/>
      <c r="O893" s="1"/>
    </row>
    <row r="894">
      <c r="G894" s="82"/>
      <c r="I894" s="82"/>
      <c r="J894" s="82"/>
      <c r="M894" s="1"/>
      <c r="O894" s="1"/>
    </row>
    <row r="895">
      <c r="G895" s="82"/>
      <c r="I895" s="82"/>
      <c r="J895" s="82"/>
      <c r="M895" s="1"/>
      <c r="O895" s="1"/>
    </row>
    <row r="896">
      <c r="G896" s="82"/>
      <c r="I896" s="82"/>
      <c r="J896" s="82"/>
      <c r="M896" s="1"/>
      <c r="O896" s="1"/>
    </row>
    <row r="897">
      <c r="G897" s="82"/>
      <c r="I897" s="82"/>
      <c r="J897" s="82"/>
      <c r="M897" s="1"/>
      <c r="O897" s="1"/>
    </row>
    <row r="898">
      <c r="G898" s="82"/>
      <c r="I898" s="82"/>
      <c r="J898" s="82"/>
      <c r="M898" s="1"/>
      <c r="O898" s="1"/>
    </row>
    <row r="899">
      <c r="G899" s="82"/>
      <c r="I899" s="82"/>
      <c r="J899" s="82"/>
      <c r="M899" s="1"/>
      <c r="O899" s="1"/>
    </row>
    <row r="900">
      <c r="G900" s="82"/>
      <c r="I900" s="82"/>
      <c r="J900" s="82"/>
      <c r="M900" s="1"/>
      <c r="O900" s="1"/>
    </row>
    <row r="901">
      <c r="G901" s="82"/>
      <c r="I901" s="82"/>
      <c r="J901" s="82"/>
      <c r="M901" s="1"/>
      <c r="O901" s="1"/>
    </row>
    <row r="902">
      <c r="G902" s="82"/>
      <c r="I902" s="82"/>
      <c r="J902" s="82"/>
      <c r="M902" s="1"/>
      <c r="O902" s="1"/>
    </row>
    <row r="903">
      <c r="G903" s="82"/>
      <c r="I903" s="82"/>
      <c r="J903" s="82"/>
      <c r="M903" s="1"/>
      <c r="O903" s="1"/>
    </row>
    <row r="904">
      <c r="G904" s="82"/>
      <c r="I904" s="82"/>
      <c r="J904" s="82"/>
      <c r="M904" s="1"/>
      <c r="O904" s="1"/>
    </row>
    <row r="905">
      <c r="G905" s="82"/>
      <c r="I905" s="82"/>
      <c r="J905" s="82"/>
      <c r="M905" s="1"/>
      <c r="O905" s="1"/>
    </row>
    <row r="906">
      <c r="G906" s="82"/>
      <c r="I906" s="82"/>
      <c r="J906" s="82"/>
      <c r="M906" s="1"/>
      <c r="O906" s="1"/>
    </row>
    <row r="907">
      <c r="G907" s="82"/>
      <c r="I907" s="82"/>
      <c r="J907" s="82"/>
      <c r="M907" s="1"/>
      <c r="O907" s="1"/>
    </row>
    <row r="908">
      <c r="G908" s="82"/>
      <c r="I908" s="82"/>
      <c r="J908" s="82"/>
      <c r="M908" s="1"/>
      <c r="O908" s="1"/>
    </row>
    <row r="909">
      <c r="G909" s="82"/>
      <c r="I909" s="82"/>
      <c r="J909" s="82"/>
      <c r="M909" s="1"/>
      <c r="O909" s="1"/>
    </row>
    <row r="910">
      <c r="G910" s="82"/>
      <c r="I910" s="82"/>
      <c r="J910" s="82"/>
      <c r="M910" s="1"/>
      <c r="O910" s="1"/>
    </row>
    <row r="911">
      <c r="G911" s="82"/>
      <c r="I911" s="82"/>
      <c r="J911" s="82"/>
      <c r="M911" s="1"/>
      <c r="O911" s="1"/>
    </row>
    <row r="912">
      <c r="G912" s="82"/>
      <c r="I912" s="82"/>
      <c r="J912" s="82"/>
      <c r="M912" s="1"/>
      <c r="O912" s="1"/>
    </row>
    <row r="913">
      <c r="G913" s="82"/>
      <c r="I913" s="82"/>
      <c r="J913" s="82"/>
      <c r="M913" s="1"/>
      <c r="O913" s="1"/>
    </row>
    <row r="914">
      <c r="G914" s="82"/>
      <c r="I914" s="82"/>
      <c r="J914" s="82"/>
      <c r="M914" s="1"/>
      <c r="O914" s="1"/>
    </row>
    <row r="915">
      <c r="G915" s="82"/>
      <c r="I915" s="82"/>
      <c r="J915" s="82"/>
      <c r="M915" s="1"/>
      <c r="O915" s="1"/>
    </row>
    <row r="916">
      <c r="G916" s="82"/>
      <c r="I916" s="82"/>
      <c r="J916" s="82"/>
      <c r="M916" s="1"/>
      <c r="O916" s="1"/>
    </row>
    <row r="917">
      <c r="G917" s="82"/>
      <c r="I917" s="82"/>
      <c r="J917" s="82"/>
      <c r="M917" s="1"/>
      <c r="O917" s="1"/>
    </row>
    <row r="918">
      <c r="G918" s="82"/>
      <c r="I918" s="82"/>
      <c r="J918" s="82"/>
      <c r="M918" s="1"/>
      <c r="O918" s="1"/>
    </row>
    <row r="919">
      <c r="G919" s="82"/>
      <c r="I919" s="82"/>
      <c r="J919" s="82"/>
      <c r="M919" s="1"/>
      <c r="O919" s="1"/>
    </row>
    <row r="920">
      <c r="G920" s="82"/>
      <c r="I920" s="82"/>
      <c r="J920" s="82"/>
      <c r="M920" s="1"/>
      <c r="O920" s="1"/>
    </row>
    <row r="921">
      <c r="G921" s="82"/>
      <c r="I921" s="82"/>
      <c r="J921" s="82"/>
      <c r="M921" s="1"/>
      <c r="O921" s="1"/>
    </row>
    <row r="922">
      <c r="G922" s="82"/>
      <c r="I922" s="82"/>
      <c r="J922" s="82"/>
      <c r="M922" s="1"/>
      <c r="O922" s="1"/>
    </row>
    <row r="923">
      <c r="G923" s="82"/>
      <c r="I923" s="82"/>
      <c r="J923" s="82"/>
      <c r="M923" s="1"/>
      <c r="O923" s="1"/>
    </row>
    <row r="924">
      <c r="G924" s="82"/>
      <c r="I924" s="82"/>
      <c r="J924" s="82"/>
      <c r="M924" s="1"/>
      <c r="O924" s="1"/>
    </row>
    <row r="925">
      <c r="G925" s="82"/>
      <c r="I925" s="82"/>
      <c r="J925" s="82"/>
      <c r="M925" s="1"/>
      <c r="O925" s="1"/>
    </row>
    <row r="926">
      <c r="G926" s="82"/>
      <c r="I926" s="82"/>
      <c r="J926" s="82"/>
      <c r="M926" s="1"/>
      <c r="O926" s="1"/>
    </row>
    <row r="927">
      <c r="G927" s="82"/>
      <c r="I927" s="82"/>
      <c r="J927" s="82"/>
      <c r="M927" s="1"/>
      <c r="O927" s="1"/>
    </row>
    <row r="928">
      <c r="G928" s="82"/>
      <c r="I928" s="82"/>
      <c r="J928" s="82"/>
      <c r="M928" s="1"/>
      <c r="O928" s="1"/>
    </row>
    <row r="929">
      <c r="G929" s="82"/>
      <c r="I929" s="82"/>
      <c r="J929" s="82"/>
      <c r="M929" s="1"/>
      <c r="O929" s="1"/>
    </row>
    <row r="930">
      <c r="G930" s="82"/>
      <c r="I930" s="82"/>
      <c r="J930" s="82"/>
      <c r="M930" s="1"/>
      <c r="O930" s="1"/>
    </row>
    <row r="931">
      <c r="G931" s="82"/>
      <c r="I931" s="82"/>
      <c r="J931" s="82"/>
      <c r="M931" s="1"/>
      <c r="O931" s="1"/>
    </row>
    <row r="932">
      <c r="G932" s="82"/>
      <c r="I932" s="82"/>
      <c r="J932" s="82"/>
      <c r="M932" s="1"/>
      <c r="O932" s="1"/>
    </row>
    <row r="933">
      <c r="G933" s="82"/>
      <c r="I933" s="82"/>
      <c r="J933" s="82"/>
      <c r="M933" s="1"/>
      <c r="O933" s="1"/>
    </row>
    <row r="934">
      <c r="G934" s="82"/>
      <c r="I934" s="82"/>
      <c r="J934" s="82"/>
      <c r="M934" s="1"/>
      <c r="O934" s="1"/>
    </row>
    <row r="935">
      <c r="G935" s="82"/>
      <c r="I935" s="82"/>
      <c r="J935" s="82"/>
      <c r="M935" s="1"/>
      <c r="O935" s="1"/>
    </row>
    <row r="936">
      <c r="G936" s="82"/>
      <c r="I936" s="82"/>
      <c r="J936" s="82"/>
      <c r="M936" s="1"/>
      <c r="O936" s="1"/>
    </row>
    <row r="937">
      <c r="G937" s="82"/>
      <c r="I937" s="82"/>
      <c r="J937" s="82"/>
      <c r="M937" s="1"/>
      <c r="O937" s="1"/>
    </row>
    <row r="938">
      <c r="G938" s="82"/>
      <c r="I938" s="82"/>
      <c r="J938" s="82"/>
      <c r="M938" s="1"/>
      <c r="O938" s="1"/>
    </row>
    <row r="939">
      <c r="G939" s="82"/>
      <c r="I939" s="82"/>
      <c r="J939" s="82"/>
      <c r="M939" s="1"/>
      <c r="O939" s="1"/>
    </row>
    <row r="940">
      <c r="G940" s="82"/>
      <c r="I940" s="82"/>
      <c r="J940" s="82"/>
      <c r="M940" s="1"/>
      <c r="O940" s="1"/>
    </row>
    <row r="941">
      <c r="G941" s="82"/>
      <c r="I941" s="82"/>
      <c r="J941" s="82"/>
      <c r="M941" s="1"/>
      <c r="O941" s="1"/>
    </row>
    <row r="942">
      <c r="G942" s="82"/>
      <c r="I942" s="82"/>
      <c r="J942" s="82"/>
      <c r="M942" s="1"/>
      <c r="O942" s="1"/>
    </row>
    <row r="943">
      <c r="G943" s="82"/>
      <c r="I943" s="82"/>
      <c r="J943" s="82"/>
      <c r="M943" s="1"/>
      <c r="O943" s="1"/>
    </row>
    <row r="944">
      <c r="G944" s="82"/>
      <c r="I944" s="82"/>
      <c r="J944" s="82"/>
      <c r="M944" s="1"/>
      <c r="O944" s="1"/>
    </row>
    <row r="945">
      <c r="G945" s="82"/>
      <c r="I945" s="82"/>
      <c r="J945" s="82"/>
      <c r="M945" s="1"/>
      <c r="O945" s="1"/>
    </row>
    <row r="946">
      <c r="G946" s="82"/>
      <c r="I946" s="82"/>
      <c r="J946" s="82"/>
      <c r="M946" s="1"/>
      <c r="O946" s="1"/>
    </row>
    <row r="947">
      <c r="G947" s="82"/>
      <c r="I947" s="82"/>
      <c r="J947" s="82"/>
      <c r="M947" s="1"/>
      <c r="O947" s="1"/>
    </row>
    <row r="948">
      <c r="G948" s="82"/>
      <c r="I948" s="82"/>
      <c r="J948" s="82"/>
      <c r="M948" s="1"/>
      <c r="O948" s="1"/>
    </row>
    <row r="949">
      <c r="G949" s="82"/>
      <c r="I949" s="82"/>
      <c r="J949" s="82"/>
      <c r="M949" s="1"/>
      <c r="O949" s="1"/>
    </row>
    <row r="950">
      <c r="G950" s="82"/>
      <c r="I950" s="82"/>
      <c r="J950" s="82"/>
      <c r="M950" s="1"/>
      <c r="O950" s="1"/>
    </row>
    <row r="951">
      <c r="G951" s="82"/>
      <c r="I951" s="82"/>
      <c r="J951" s="82"/>
      <c r="M951" s="1"/>
      <c r="O951" s="1"/>
    </row>
    <row r="952">
      <c r="G952" s="82"/>
      <c r="I952" s="82"/>
      <c r="J952" s="82"/>
      <c r="M952" s="1"/>
      <c r="O952" s="1"/>
    </row>
    <row r="953">
      <c r="G953" s="82"/>
      <c r="I953" s="82"/>
      <c r="J953" s="82"/>
      <c r="M953" s="1"/>
      <c r="O953" s="1"/>
    </row>
    <row r="954">
      <c r="G954" s="82"/>
      <c r="I954" s="82"/>
      <c r="J954" s="82"/>
      <c r="M954" s="1"/>
      <c r="O954" s="1"/>
    </row>
    <row r="955">
      <c r="G955" s="82"/>
      <c r="I955" s="82"/>
      <c r="J955" s="82"/>
      <c r="M955" s="1"/>
      <c r="O955" s="1"/>
    </row>
    <row r="956">
      <c r="G956" s="82"/>
      <c r="I956" s="82"/>
      <c r="J956" s="82"/>
      <c r="M956" s="1"/>
      <c r="O956" s="1"/>
    </row>
    <row r="957">
      <c r="G957" s="82"/>
      <c r="I957" s="82"/>
      <c r="J957" s="82"/>
      <c r="M957" s="1"/>
      <c r="O957" s="1"/>
    </row>
    <row r="958">
      <c r="G958" s="82"/>
      <c r="I958" s="82"/>
      <c r="J958" s="82"/>
      <c r="M958" s="1"/>
      <c r="O958" s="1"/>
    </row>
    <row r="959">
      <c r="G959" s="82"/>
      <c r="I959" s="82"/>
      <c r="J959" s="82"/>
      <c r="M959" s="1"/>
      <c r="O959" s="1"/>
    </row>
    <row r="960">
      <c r="G960" s="82"/>
      <c r="I960" s="82"/>
      <c r="J960" s="82"/>
      <c r="M960" s="1"/>
      <c r="O960" s="1"/>
    </row>
    <row r="961">
      <c r="G961" s="82"/>
      <c r="I961" s="82"/>
      <c r="J961" s="82"/>
      <c r="M961" s="1"/>
      <c r="O961" s="1"/>
    </row>
    <row r="962">
      <c r="G962" s="82"/>
      <c r="I962" s="82"/>
      <c r="J962" s="82"/>
      <c r="M962" s="1"/>
      <c r="O962" s="1"/>
    </row>
    <row r="963">
      <c r="G963" s="82"/>
      <c r="I963" s="82"/>
      <c r="J963" s="82"/>
      <c r="M963" s="1"/>
      <c r="O963" s="1"/>
    </row>
    <row r="964">
      <c r="G964" s="82"/>
      <c r="I964" s="82"/>
      <c r="J964" s="82"/>
      <c r="M964" s="1"/>
      <c r="O964" s="1"/>
    </row>
    <row r="965">
      <c r="G965" s="82"/>
      <c r="I965" s="82"/>
      <c r="J965" s="82"/>
      <c r="M965" s="1"/>
      <c r="O965" s="1"/>
    </row>
    <row r="966">
      <c r="G966" s="82"/>
      <c r="I966" s="82"/>
      <c r="J966" s="82"/>
      <c r="M966" s="1"/>
      <c r="O966" s="1"/>
    </row>
    <row r="967">
      <c r="G967" s="82"/>
      <c r="I967" s="82"/>
      <c r="J967" s="82"/>
      <c r="M967" s="1"/>
      <c r="O967" s="1"/>
    </row>
    <row r="968">
      <c r="G968" s="82"/>
      <c r="I968" s="82"/>
      <c r="J968" s="82"/>
      <c r="M968" s="1"/>
      <c r="O968" s="1"/>
    </row>
    <row r="969">
      <c r="G969" s="82"/>
      <c r="I969" s="82"/>
      <c r="J969" s="82"/>
      <c r="M969" s="1"/>
      <c r="O969" s="1"/>
    </row>
    <row r="970">
      <c r="G970" s="82"/>
      <c r="I970" s="82"/>
      <c r="J970" s="82"/>
      <c r="M970" s="1"/>
      <c r="O970" s="1"/>
    </row>
    <row r="971">
      <c r="G971" s="82"/>
      <c r="I971" s="82"/>
      <c r="J971" s="82"/>
      <c r="M971" s="1"/>
      <c r="O971" s="1"/>
    </row>
    <row r="972">
      <c r="G972" s="82"/>
      <c r="I972" s="82"/>
      <c r="J972" s="82"/>
      <c r="M972" s="1"/>
      <c r="O972" s="1"/>
    </row>
    <row r="973">
      <c r="G973" s="82"/>
      <c r="I973" s="82"/>
      <c r="J973" s="82"/>
      <c r="M973" s="1"/>
      <c r="O973" s="1"/>
    </row>
    <row r="974">
      <c r="G974" s="82"/>
      <c r="I974" s="82"/>
      <c r="J974" s="82"/>
      <c r="M974" s="1"/>
      <c r="O974" s="1"/>
    </row>
    <row r="975">
      <c r="G975" s="82"/>
      <c r="I975" s="82"/>
      <c r="J975" s="82"/>
      <c r="M975" s="1"/>
      <c r="O975" s="1"/>
    </row>
    <row r="976">
      <c r="G976" s="82"/>
      <c r="I976" s="82"/>
      <c r="J976" s="82"/>
      <c r="M976" s="1"/>
      <c r="O976" s="1"/>
    </row>
    <row r="977">
      <c r="G977" s="82"/>
      <c r="I977" s="82"/>
      <c r="J977" s="82"/>
      <c r="M977" s="1"/>
      <c r="O977" s="1"/>
    </row>
    <row r="978">
      <c r="G978" s="82"/>
      <c r="I978" s="82"/>
      <c r="J978" s="82"/>
      <c r="M978" s="1"/>
      <c r="O978" s="1"/>
    </row>
    <row r="979">
      <c r="G979" s="82"/>
      <c r="I979" s="82"/>
      <c r="J979" s="82"/>
      <c r="M979" s="1"/>
      <c r="O979" s="1"/>
    </row>
    <row r="980">
      <c r="G980" s="82"/>
      <c r="I980" s="82"/>
      <c r="J980" s="82"/>
      <c r="M980" s="1"/>
      <c r="O980" s="1"/>
    </row>
    <row r="981">
      <c r="G981" s="82"/>
      <c r="I981" s="82"/>
      <c r="J981" s="82"/>
      <c r="M981" s="1"/>
      <c r="O981" s="1"/>
    </row>
    <row r="982">
      <c r="G982" s="82"/>
      <c r="I982" s="82"/>
      <c r="J982" s="82"/>
      <c r="M982" s="1"/>
      <c r="O982" s="1"/>
    </row>
    <row r="983">
      <c r="G983" s="82"/>
      <c r="I983" s="82"/>
      <c r="J983" s="82"/>
      <c r="M983" s="1"/>
      <c r="O983" s="1"/>
    </row>
    <row r="984">
      <c r="G984" s="82"/>
      <c r="I984" s="82"/>
      <c r="J984" s="82"/>
      <c r="M984" s="1"/>
      <c r="O984" s="1"/>
    </row>
    <row r="985">
      <c r="G985" s="82"/>
      <c r="I985" s="82"/>
      <c r="J985" s="82"/>
      <c r="M985" s="1"/>
      <c r="O985" s="1"/>
    </row>
    <row r="986">
      <c r="G986" s="82"/>
      <c r="I986" s="82"/>
      <c r="J986" s="82"/>
      <c r="M986" s="1"/>
      <c r="O986" s="1"/>
    </row>
    <row r="987">
      <c r="G987" s="82"/>
      <c r="I987" s="82"/>
      <c r="J987" s="82"/>
      <c r="M987" s="1"/>
      <c r="O987" s="1"/>
    </row>
    <row r="988">
      <c r="G988" s="82"/>
      <c r="I988" s="82"/>
      <c r="J988" s="82"/>
      <c r="M988" s="1"/>
      <c r="O988" s="1"/>
    </row>
    <row r="989">
      <c r="G989" s="82"/>
      <c r="I989" s="82"/>
      <c r="J989" s="82"/>
      <c r="M989" s="1"/>
      <c r="O989" s="1"/>
    </row>
    <row r="990">
      <c r="G990" s="82"/>
      <c r="I990" s="82"/>
      <c r="J990" s="82"/>
      <c r="M990" s="1"/>
      <c r="O990" s="1"/>
    </row>
    <row r="991">
      <c r="G991" s="82"/>
      <c r="I991" s="82"/>
      <c r="J991" s="82"/>
      <c r="M991" s="1"/>
      <c r="O991" s="1"/>
    </row>
    <row r="992">
      <c r="G992" s="82"/>
      <c r="I992" s="82"/>
      <c r="J992" s="82"/>
      <c r="M992" s="1"/>
      <c r="O992" s="1"/>
    </row>
    <row r="993">
      <c r="G993" s="82"/>
      <c r="I993" s="82"/>
      <c r="J993" s="82"/>
      <c r="M993" s="1"/>
      <c r="O993" s="1"/>
    </row>
    <row r="994">
      <c r="G994" s="82"/>
      <c r="I994" s="82"/>
      <c r="J994" s="82"/>
      <c r="M994" s="1"/>
      <c r="O994" s="1"/>
    </row>
    <row r="995">
      <c r="G995" s="82"/>
      <c r="I995" s="82"/>
      <c r="J995" s="82"/>
      <c r="M995" s="1"/>
      <c r="O995" s="1"/>
    </row>
    <row r="996">
      <c r="G996" s="82"/>
      <c r="I996" s="82"/>
      <c r="J996" s="82"/>
      <c r="M996" s="1"/>
      <c r="O996" s="1"/>
    </row>
    <row r="997">
      <c r="G997" s="82"/>
      <c r="I997" s="82"/>
      <c r="J997" s="82"/>
      <c r="M997" s="1"/>
      <c r="O997" s="1"/>
    </row>
    <row r="998">
      <c r="G998" s="82"/>
      <c r="I998" s="82"/>
      <c r="J998" s="82"/>
      <c r="M998" s="1"/>
      <c r="O998" s="1"/>
    </row>
    <row r="999">
      <c r="G999" s="82"/>
      <c r="I999" s="82"/>
      <c r="J999" s="82"/>
      <c r="M999" s="1"/>
      <c r="O999" s="1"/>
    </row>
    <row r="1000">
      <c r="G1000" s="82"/>
      <c r="I1000" s="82"/>
      <c r="J1000" s="82"/>
      <c r="M1000" s="1"/>
      <c r="O1000" s="1"/>
    </row>
    <row r="1001">
      <c r="G1001" s="82"/>
      <c r="I1001" s="82"/>
      <c r="J1001" s="82"/>
      <c r="M1001" s="1"/>
      <c r="O1001" s="1"/>
    </row>
  </sheetData>
  <mergeCells count="3">
    <mergeCell ref="M1:O1"/>
    <mergeCell ref="M2:O2"/>
    <mergeCell ref="M3:O3"/>
  </mergeCells>
  <conditionalFormatting sqref="L6:P8">
    <cfRule type="expression" dxfId="1" priority="1">
      <formula>NOT($L$6="")</formula>
    </cfRule>
  </conditionalFormatting>
  <conditionalFormatting sqref="L9:P11">
    <cfRule type="expression" dxfId="2" priority="2">
      <formula>NOT($L$9="")</formula>
    </cfRule>
  </conditionalFormatting>
  <dataValidations>
    <dataValidation type="list" allowBlank="1" showErrorMessage="1" sqref="M1">
      <formula1>'Créneaux'!$I$2:$I$39</formula1>
    </dataValidation>
    <dataValidation type="list" allowBlank="1" showErrorMessage="1" sqref="M2">
      <formula1>'Créneaux'!$F$2:$F$39</formula1>
    </dataValidation>
    <dataValidation type="list" allowBlank="1" showErrorMessage="1" sqref="M3">
      <formula1>Semaines!$A$2:$A$16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19.25"/>
    <col customWidth="1" min="5" max="5" width="2.75"/>
    <col customWidth="1" min="9" max="9" width="4.75"/>
    <col customWidth="1" min="10" max="10" width="9.63"/>
    <col customWidth="1" min="11" max="11" width="3.38"/>
    <col customWidth="1" min="13" max="13" width="3.5"/>
    <col customWidth="1" min="14" max="14" width="3.63"/>
    <col customWidth="1" min="15" max="15" width="19.75"/>
    <col customWidth="1" min="16" max="16" width="3.0"/>
    <col customWidth="1" min="17" max="17" width="3.25"/>
    <col customWidth="1" min="18" max="18" width="10.0"/>
    <col customWidth="1" min="19" max="19" width="2.38"/>
    <col customWidth="1" min="20" max="20" width="3.38"/>
    <col customWidth="1" min="21" max="21" width="10.63"/>
    <col customWidth="1" min="22" max="22" width="9.38"/>
    <col customWidth="1" min="23" max="23" width="3.63"/>
  </cols>
  <sheetData>
    <row r="1">
      <c r="A1" s="18" t="s">
        <v>37</v>
      </c>
      <c r="B1" s="18" t="s">
        <v>49</v>
      </c>
      <c r="C1" s="18" t="s">
        <v>50</v>
      </c>
      <c r="D1" s="18" t="s">
        <v>51</v>
      </c>
      <c r="F1" s="18" t="s">
        <v>49</v>
      </c>
      <c r="G1" s="18" t="s">
        <v>52</v>
      </c>
      <c r="H1" s="4" t="s">
        <v>53</v>
      </c>
      <c r="I1" s="90"/>
      <c r="J1" s="90" t="s">
        <v>54</v>
      </c>
      <c r="K1" s="90"/>
      <c r="L1" s="90"/>
      <c r="M1" s="90" t="s">
        <v>55</v>
      </c>
      <c r="P1" s="90" t="s">
        <v>56</v>
      </c>
      <c r="S1" s="90" t="s">
        <v>57</v>
      </c>
      <c r="V1" s="90" t="s">
        <v>58</v>
      </c>
    </row>
    <row r="2">
      <c r="A2" s="18" t="s">
        <v>59</v>
      </c>
      <c r="B2" s="16">
        <v>1.0</v>
      </c>
      <c r="C2" s="6">
        <f t="shared" ref="C2:C48" si="1">COUNTIF($B$2:$B2,"="&amp;$B2)</f>
        <v>1</v>
      </c>
      <c r="D2" s="6"/>
      <c r="F2" s="16">
        <v>1.0</v>
      </c>
      <c r="G2" s="16">
        <v>1.0</v>
      </c>
      <c r="H2" s="4">
        <v>1.0</v>
      </c>
      <c r="I2" s="90"/>
      <c r="J2" s="94">
        <f>VALUE(RIGHT(J1,1))</f>
        <v>1</v>
      </c>
      <c r="K2" s="94">
        <f>IF($G2=J2,$F2,"")</f>
        <v>1</v>
      </c>
      <c r="L2" s="94">
        <f t="shared" ref="L2:L17" si="2">IF(K2&lt;&gt;"",SUMPRODUCT($B$2:$B$48=$F2,$D$2:$D$48&lt;&gt;""),0)</f>
        <v>0</v>
      </c>
      <c r="M2" s="94">
        <f>VALUE(RIGHT(M1,1))</f>
        <v>2</v>
      </c>
      <c r="N2" s="90" t="str">
        <f>IF($G2=M2,$F2,"")</f>
        <v/>
      </c>
      <c r="O2" s="94">
        <f t="shared" ref="O2:O17" si="3">IF(N2&lt;&gt;"",SUMPRODUCT($B$2:$B$48=$F2,$D$2:$D$48&lt;&gt;""),0)</f>
        <v>0</v>
      </c>
      <c r="P2" s="94">
        <f>VALUE(RIGHT(P1,1))</f>
        <v>1</v>
      </c>
      <c r="Q2" s="94">
        <f>IF($H2=P2,$F2,"")</f>
        <v>1</v>
      </c>
      <c r="R2" s="94">
        <f t="shared" ref="R2:R17" si="4">IF(Q2&lt;&gt;"",SUMPRODUCT($B$2:$B$48=$F2,$D$2:$D$48&lt;&gt;""),0)</f>
        <v>0</v>
      </c>
      <c r="S2" s="94">
        <f>VALUE(RIGHT(S1,1))</f>
        <v>2</v>
      </c>
      <c r="T2" s="90" t="str">
        <f>IF($H2=S2,$F2,"")</f>
        <v/>
      </c>
      <c r="U2" s="94">
        <f t="shared" ref="U2:U17" si="5">IF(T2&lt;&gt;"",SUMPRODUCT($B$2:$B$48=$F2,$D$2:$D$48&lt;&gt;""),0)</f>
        <v>0</v>
      </c>
      <c r="V2" s="94">
        <f>VALUE(RIGHT(V1,1))</f>
        <v>3</v>
      </c>
      <c r="W2" s="90" t="str">
        <f>IF($H2=V2,$F2,"")</f>
        <v/>
      </c>
      <c r="X2" s="94">
        <f t="shared" ref="X2:X17" si="6">IF(W2&lt;&gt;"",SUMPRODUCT($B$2:$B$48=$F2,$D$2:$D$48&lt;&gt;""),0)</f>
        <v>0</v>
      </c>
    </row>
    <row r="3">
      <c r="A3" s="18" t="s">
        <v>64</v>
      </c>
      <c r="B3" s="16">
        <v>1.0</v>
      </c>
      <c r="C3" s="6">
        <f t="shared" si="1"/>
        <v>2</v>
      </c>
      <c r="D3" s="6"/>
      <c r="F3" s="16">
        <v>2.0</v>
      </c>
      <c r="G3" s="16">
        <v>1.0</v>
      </c>
      <c r="H3" s="4">
        <v>1.0</v>
      </c>
      <c r="I3" s="90"/>
      <c r="J3" s="94">
        <f t="shared" ref="J3:J17" si="7">J2</f>
        <v>1</v>
      </c>
      <c r="K3" s="90" t="str">
        <f t="shared" ref="K3:K17" si="8">IF($G3=J3,IF(SUMPRODUCT(K$2:K2&lt;&gt;"")&gt;0," – ","")&amp;$F3,"")</f>
        <v> – 2</v>
      </c>
      <c r="L3" s="94">
        <f t="shared" si="2"/>
        <v>0</v>
      </c>
      <c r="M3" s="94">
        <f t="shared" ref="M3:M17" si="9">M2</f>
        <v>2</v>
      </c>
      <c r="N3" s="90" t="str">
        <f t="shared" ref="N3:N17" si="10">IF($G3=M3,IF(SUMPRODUCT(N$2:N2&lt;&gt;"")&gt;0," – ","")&amp;$F3,"")</f>
        <v/>
      </c>
      <c r="O3" s="94">
        <f t="shared" si="3"/>
        <v>0</v>
      </c>
      <c r="P3" s="94">
        <f t="shared" ref="P3:P17" si="11">P2</f>
        <v>1</v>
      </c>
      <c r="Q3" s="90" t="str">
        <f t="shared" ref="Q3:Q17" si="12">IF($H3=P3,IF(SUMPRODUCT(Q$2:Q2&lt;&gt;"")&gt;0," – ","")&amp;$F3,"")</f>
        <v> – 2</v>
      </c>
      <c r="R3" s="94">
        <f t="shared" si="4"/>
        <v>0</v>
      </c>
      <c r="S3" s="94">
        <f t="shared" ref="S3:S17" si="13">S2</f>
        <v>2</v>
      </c>
      <c r="T3" s="90" t="str">
        <f t="shared" ref="T3:T17" si="14">IF($H3=S3,IF(SUMPRODUCT(T$2:T2&lt;&gt;"")&gt;0," – ","")&amp;$F3,"")</f>
        <v/>
      </c>
      <c r="U3" s="94">
        <f t="shared" si="5"/>
        <v>0</v>
      </c>
      <c r="V3" s="94">
        <f t="shared" ref="V3:V17" si="15">V2</f>
        <v>3</v>
      </c>
      <c r="W3" s="90" t="str">
        <f t="shared" ref="W3:W17" si="16">IF($H3=V3,IF(SUMPRODUCT(W$2:W2&lt;&gt;"")&gt;0," – ","")&amp;$F3,"")</f>
        <v/>
      </c>
      <c r="X3" s="94">
        <f t="shared" si="6"/>
        <v>0</v>
      </c>
    </row>
    <row r="4">
      <c r="A4" s="18" t="s">
        <v>65</v>
      </c>
      <c r="B4" s="16">
        <v>1.0</v>
      </c>
      <c r="C4" s="6">
        <f t="shared" si="1"/>
        <v>3</v>
      </c>
      <c r="D4" s="6"/>
      <c r="F4" s="16">
        <v>3.0</v>
      </c>
      <c r="G4" s="16">
        <v>1.0</v>
      </c>
      <c r="H4" s="4">
        <v>1.0</v>
      </c>
      <c r="I4" s="90"/>
      <c r="J4" s="94">
        <f t="shared" si="7"/>
        <v>1</v>
      </c>
      <c r="K4" s="90" t="str">
        <f t="shared" si="8"/>
        <v> – 3</v>
      </c>
      <c r="L4" s="94">
        <f t="shared" si="2"/>
        <v>0</v>
      </c>
      <c r="M4" s="94">
        <f t="shared" si="9"/>
        <v>2</v>
      </c>
      <c r="N4" s="90" t="str">
        <f t="shared" si="10"/>
        <v/>
      </c>
      <c r="O4" s="94">
        <f t="shared" si="3"/>
        <v>0</v>
      </c>
      <c r="P4" s="94">
        <f t="shared" si="11"/>
        <v>1</v>
      </c>
      <c r="Q4" s="90" t="str">
        <f t="shared" si="12"/>
        <v> – 3</v>
      </c>
      <c r="R4" s="94">
        <f t="shared" si="4"/>
        <v>0</v>
      </c>
      <c r="S4" s="94">
        <f t="shared" si="13"/>
        <v>2</v>
      </c>
      <c r="T4" s="90" t="str">
        <f t="shared" si="14"/>
        <v/>
      </c>
      <c r="U4" s="94">
        <f t="shared" si="5"/>
        <v>0</v>
      </c>
      <c r="V4" s="94">
        <f t="shared" si="15"/>
        <v>3</v>
      </c>
      <c r="W4" s="90" t="str">
        <f t="shared" si="16"/>
        <v/>
      </c>
      <c r="X4" s="94">
        <f t="shared" si="6"/>
        <v>0</v>
      </c>
    </row>
    <row r="5">
      <c r="A5" s="18" t="s">
        <v>66</v>
      </c>
      <c r="B5" s="16">
        <v>2.0</v>
      </c>
      <c r="C5" s="6">
        <f t="shared" si="1"/>
        <v>1</v>
      </c>
      <c r="D5" s="18"/>
      <c r="F5" s="16">
        <v>4.0</v>
      </c>
      <c r="G5" s="16">
        <v>1.0</v>
      </c>
      <c r="H5" s="4">
        <v>1.0</v>
      </c>
      <c r="I5" s="90"/>
      <c r="J5" s="94">
        <f t="shared" si="7"/>
        <v>1</v>
      </c>
      <c r="K5" s="90" t="str">
        <f t="shared" si="8"/>
        <v> – 4</v>
      </c>
      <c r="L5" s="94">
        <f t="shared" si="2"/>
        <v>0</v>
      </c>
      <c r="M5" s="94">
        <f t="shared" si="9"/>
        <v>2</v>
      </c>
      <c r="N5" s="90" t="str">
        <f t="shared" si="10"/>
        <v/>
      </c>
      <c r="O5" s="94">
        <f t="shared" si="3"/>
        <v>0</v>
      </c>
      <c r="P5" s="94">
        <f t="shared" si="11"/>
        <v>1</v>
      </c>
      <c r="Q5" s="90" t="str">
        <f t="shared" si="12"/>
        <v> – 4</v>
      </c>
      <c r="R5" s="94">
        <f t="shared" si="4"/>
        <v>0</v>
      </c>
      <c r="S5" s="94">
        <f t="shared" si="13"/>
        <v>2</v>
      </c>
      <c r="T5" s="90" t="str">
        <f t="shared" si="14"/>
        <v/>
      </c>
      <c r="U5" s="94">
        <f t="shared" si="5"/>
        <v>0</v>
      </c>
      <c r="V5" s="94">
        <f t="shared" si="15"/>
        <v>3</v>
      </c>
      <c r="W5" s="90" t="str">
        <f t="shared" si="16"/>
        <v/>
      </c>
      <c r="X5" s="94">
        <f t="shared" si="6"/>
        <v>0</v>
      </c>
    </row>
    <row r="6">
      <c r="A6" s="18" t="s">
        <v>67</v>
      </c>
      <c r="B6" s="16">
        <v>2.0</v>
      </c>
      <c r="C6" s="6">
        <f t="shared" si="1"/>
        <v>2</v>
      </c>
      <c r="D6" s="6"/>
      <c r="F6" s="16">
        <v>5.0</v>
      </c>
      <c r="G6" s="16">
        <v>1.0</v>
      </c>
      <c r="H6" s="4">
        <v>1.0</v>
      </c>
      <c r="I6" s="90"/>
      <c r="J6" s="94">
        <f t="shared" si="7"/>
        <v>1</v>
      </c>
      <c r="K6" s="90" t="str">
        <f t="shared" si="8"/>
        <v> – 5</v>
      </c>
      <c r="L6" s="94">
        <f t="shared" si="2"/>
        <v>0</v>
      </c>
      <c r="M6" s="94">
        <f t="shared" si="9"/>
        <v>2</v>
      </c>
      <c r="N6" s="90" t="str">
        <f t="shared" si="10"/>
        <v/>
      </c>
      <c r="O6" s="94">
        <f t="shared" si="3"/>
        <v>0</v>
      </c>
      <c r="P6" s="94">
        <f t="shared" si="11"/>
        <v>1</v>
      </c>
      <c r="Q6" s="90" t="str">
        <f t="shared" si="12"/>
        <v> – 5</v>
      </c>
      <c r="R6" s="94">
        <f t="shared" si="4"/>
        <v>0</v>
      </c>
      <c r="S6" s="94">
        <f t="shared" si="13"/>
        <v>2</v>
      </c>
      <c r="T6" s="90" t="str">
        <f t="shared" si="14"/>
        <v/>
      </c>
      <c r="U6" s="94">
        <f t="shared" si="5"/>
        <v>0</v>
      </c>
      <c r="V6" s="94">
        <f t="shared" si="15"/>
        <v>3</v>
      </c>
      <c r="W6" s="90" t="str">
        <f t="shared" si="16"/>
        <v/>
      </c>
      <c r="X6" s="94">
        <f t="shared" si="6"/>
        <v>0</v>
      </c>
    </row>
    <row r="7">
      <c r="A7" s="18" t="s">
        <v>68</v>
      </c>
      <c r="B7" s="16">
        <v>2.0</v>
      </c>
      <c r="C7" s="6">
        <f t="shared" si="1"/>
        <v>3</v>
      </c>
      <c r="D7" s="6"/>
      <c r="F7" s="16">
        <v>6.0</v>
      </c>
      <c r="G7" s="16">
        <v>1.0</v>
      </c>
      <c r="H7" s="4">
        <v>1.0</v>
      </c>
      <c r="I7" s="90"/>
      <c r="J7" s="94">
        <f t="shared" si="7"/>
        <v>1</v>
      </c>
      <c r="K7" s="90" t="str">
        <f t="shared" si="8"/>
        <v> – 6</v>
      </c>
      <c r="L7" s="94">
        <f t="shared" si="2"/>
        <v>0</v>
      </c>
      <c r="M7" s="94">
        <f t="shared" si="9"/>
        <v>2</v>
      </c>
      <c r="N7" s="90" t="str">
        <f t="shared" si="10"/>
        <v/>
      </c>
      <c r="O7" s="94">
        <f t="shared" si="3"/>
        <v>0</v>
      </c>
      <c r="P7" s="94">
        <f t="shared" si="11"/>
        <v>1</v>
      </c>
      <c r="Q7" s="90" t="str">
        <f t="shared" si="12"/>
        <v> – 6</v>
      </c>
      <c r="R7" s="94">
        <f t="shared" si="4"/>
        <v>0</v>
      </c>
      <c r="S7" s="94">
        <f t="shared" si="13"/>
        <v>2</v>
      </c>
      <c r="T7" s="90" t="str">
        <f t="shared" si="14"/>
        <v/>
      </c>
      <c r="U7" s="94">
        <f t="shared" si="5"/>
        <v>0</v>
      </c>
      <c r="V7" s="94">
        <f t="shared" si="15"/>
        <v>3</v>
      </c>
      <c r="W7" s="90" t="str">
        <f t="shared" si="16"/>
        <v/>
      </c>
      <c r="X7" s="94">
        <f t="shared" si="6"/>
        <v>0</v>
      </c>
    </row>
    <row r="8">
      <c r="A8" s="18" t="s">
        <v>69</v>
      </c>
      <c r="B8" s="16">
        <v>3.0</v>
      </c>
      <c r="C8" s="6">
        <f t="shared" si="1"/>
        <v>1</v>
      </c>
      <c r="D8" s="6"/>
      <c r="F8" s="16">
        <v>7.0</v>
      </c>
      <c r="G8" s="16">
        <v>1.0</v>
      </c>
      <c r="H8" s="4">
        <v>2.0</v>
      </c>
      <c r="I8" s="90"/>
      <c r="J8" s="94">
        <f t="shared" si="7"/>
        <v>1</v>
      </c>
      <c r="K8" s="90" t="str">
        <f t="shared" si="8"/>
        <v> – 7</v>
      </c>
      <c r="L8" s="94">
        <f t="shared" si="2"/>
        <v>0</v>
      </c>
      <c r="M8" s="94">
        <f t="shared" si="9"/>
        <v>2</v>
      </c>
      <c r="N8" s="90" t="str">
        <f t="shared" si="10"/>
        <v/>
      </c>
      <c r="O8" s="94">
        <f t="shared" si="3"/>
        <v>0</v>
      </c>
      <c r="P8" s="94">
        <f t="shared" si="11"/>
        <v>1</v>
      </c>
      <c r="Q8" s="90" t="str">
        <f t="shared" si="12"/>
        <v/>
      </c>
      <c r="R8" s="94">
        <f t="shared" si="4"/>
        <v>0</v>
      </c>
      <c r="S8" s="94">
        <f t="shared" si="13"/>
        <v>2</v>
      </c>
      <c r="T8" s="90" t="str">
        <f t="shared" si="14"/>
        <v>7</v>
      </c>
      <c r="U8" s="94">
        <f t="shared" si="5"/>
        <v>0</v>
      </c>
      <c r="V8" s="94">
        <f t="shared" si="15"/>
        <v>3</v>
      </c>
      <c r="W8" s="90" t="str">
        <f t="shared" si="16"/>
        <v/>
      </c>
      <c r="X8" s="94">
        <f t="shared" si="6"/>
        <v>0</v>
      </c>
    </row>
    <row r="9">
      <c r="A9" s="18" t="s">
        <v>70</v>
      </c>
      <c r="B9" s="16">
        <v>3.0</v>
      </c>
      <c r="C9" s="6">
        <f t="shared" si="1"/>
        <v>2</v>
      </c>
      <c r="D9" s="18"/>
      <c r="F9" s="16">
        <v>8.0</v>
      </c>
      <c r="G9" s="16">
        <v>1.0</v>
      </c>
      <c r="H9" s="4">
        <v>2.0</v>
      </c>
      <c r="I9" s="90"/>
      <c r="J9" s="94">
        <f t="shared" si="7"/>
        <v>1</v>
      </c>
      <c r="K9" s="90" t="str">
        <f t="shared" si="8"/>
        <v> – 8</v>
      </c>
      <c r="L9" s="94">
        <f t="shared" si="2"/>
        <v>0</v>
      </c>
      <c r="M9" s="94">
        <f t="shared" si="9"/>
        <v>2</v>
      </c>
      <c r="N9" s="90" t="str">
        <f t="shared" si="10"/>
        <v/>
      </c>
      <c r="O9" s="94">
        <f t="shared" si="3"/>
        <v>0</v>
      </c>
      <c r="P9" s="94">
        <f t="shared" si="11"/>
        <v>1</v>
      </c>
      <c r="Q9" s="90" t="str">
        <f t="shared" si="12"/>
        <v/>
      </c>
      <c r="R9" s="94">
        <f t="shared" si="4"/>
        <v>0</v>
      </c>
      <c r="S9" s="94">
        <f t="shared" si="13"/>
        <v>2</v>
      </c>
      <c r="T9" s="90" t="str">
        <f t="shared" si="14"/>
        <v> – 8</v>
      </c>
      <c r="U9" s="94">
        <f t="shared" si="5"/>
        <v>0</v>
      </c>
      <c r="V9" s="94">
        <f t="shared" si="15"/>
        <v>3</v>
      </c>
      <c r="W9" s="90" t="str">
        <f t="shared" si="16"/>
        <v/>
      </c>
      <c r="X9" s="94">
        <f t="shared" si="6"/>
        <v>0</v>
      </c>
    </row>
    <row r="10">
      <c r="A10" s="18" t="s">
        <v>71</v>
      </c>
      <c r="B10" s="16">
        <v>3.0</v>
      </c>
      <c r="C10" s="6">
        <f t="shared" si="1"/>
        <v>3</v>
      </c>
      <c r="D10" s="6"/>
      <c r="F10" s="16">
        <v>9.0</v>
      </c>
      <c r="G10" s="16">
        <v>2.0</v>
      </c>
      <c r="H10" s="4">
        <v>2.0</v>
      </c>
      <c r="I10" s="90"/>
      <c r="J10" s="94">
        <f t="shared" si="7"/>
        <v>1</v>
      </c>
      <c r="K10" s="90" t="str">
        <f t="shared" si="8"/>
        <v/>
      </c>
      <c r="L10" s="94">
        <f t="shared" si="2"/>
        <v>0</v>
      </c>
      <c r="M10" s="94">
        <f t="shared" si="9"/>
        <v>2</v>
      </c>
      <c r="N10" s="90" t="str">
        <f t="shared" si="10"/>
        <v>9</v>
      </c>
      <c r="O10" s="94">
        <f t="shared" si="3"/>
        <v>0</v>
      </c>
      <c r="P10" s="94">
        <f t="shared" si="11"/>
        <v>1</v>
      </c>
      <c r="Q10" s="90" t="str">
        <f t="shared" si="12"/>
        <v/>
      </c>
      <c r="R10" s="94">
        <f t="shared" si="4"/>
        <v>0</v>
      </c>
      <c r="S10" s="94">
        <f t="shared" si="13"/>
        <v>2</v>
      </c>
      <c r="T10" s="90" t="str">
        <f t="shared" si="14"/>
        <v> – 9</v>
      </c>
      <c r="U10" s="94">
        <f t="shared" si="5"/>
        <v>0</v>
      </c>
      <c r="V10" s="94">
        <f t="shared" si="15"/>
        <v>3</v>
      </c>
      <c r="W10" s="90" t="str">
        <f t="shared" si="16"/>
        <v/>
      </c>
      <c r="X10" s="94">
        <f t="shared" si="6"/>
        <v>0</v>
      </c>
    </row>
    <row r="11">
      <c r="A11" s="18" t="s">
        <v>72</v>
      </c>
      <c r="B11" s="16">
        <v>4.0</v>
      </c>
      <c r="C11" s="6">
        <f t="shared" si="1"/>
        <v>1</v>
      </c>
      <c r="D11" s="6"/>
      <c r="F11" s="16">
        <v>10.0</v>
      </c>
      <c r="G11" s="16">
        <v>2.0</v>
      </c>
      <c r="H11" s="4">
        <v>2.0</v>
      </c>
      <c r="I11" s="90"/>
      <c r="J11" s="94">
        <f t="shared" si="7"/>
        <v>1</v>
      </c>
      <c r="K11" s="90" t="str">
        <f t="shared" si="8"/>
        <v/>
      </c>
      <c r="L11" s="94">
        <f t="shared" si="2"/>
        <v>0</v>
      </c>
      <c r="M11" s="94">
        <f t="shared" si="9"/>
        <v>2</v>
      </c>
      <c r="N11" s="90" t="str">
        <f t="shared" si="10"/>
        <v> – 10</v>
      </c>
      <c r="O11" s="94">
        <f t="shared" si="3"/>
        <v>0</v>
      </c>
      <c r="P11" s="94">
        <f t="shared" si="11"/>
        <v>1</v>
      </c>
      <c r="Q11" s="90" t="str">
        <f t="shared" si="12"/>
        <v/>
      </c>
      <c r="R11" s="94">
        <f t="shared" si="4"/>
        <v>0</v>
      </c>
      <c r="S11" s="94">
        <f t="shared" si="13"/>
        <v>2</v>
      </c>
      <c r="T11" s="90" t="str">
        <f t="shared" si="14"/>
        <v> – 10</v>
      </c>
      <c r="U11" s="94">
        <f t="shared" si="5"/>
        <v>0</v>
      </c>
      <c r="V11" s="94">
        <f t="shared" si="15"/>
        <v>3</v>
      </c>
      <c r="W11" s="90" t="str">
        <f t="shared" si="16"/>
        <v/>
      </c>
      <c r="X11" s="94">
        <f t="shared" si="6"/>
        <v>0</v>
      </c>
    </row>
    <row r="12">
      <c r="A12" s="18" t="s">
        <v>73</v>
      </c>
      <c r="B12" s="16">
        <v>4.0</v>
      </c>
      <c r="C12" s="6">
        <f t="shared" si="1"/>
        <v>2</v>
      </c>
      <c r="D12" s="6"/>
      <c r="F12" s="16">
        <v>11.0</v>
      </c>
      <c r="G12" s="16">
        <v>2.0</v>
      </c>
      <c r="H12" s="4">
        <v>2.0</v>
      </c>
      <c r="I12" s="90"/>
      <c r="J12" s="94">
        <f t="shared" si="7"/>
        <v>1</v>
      </c>
      <c r="K12" s="90" t="str">
        <f t="shared" si="8"/>
        <v/>
      </c>
      <c r="L12" s="94">
        <f t="shared" si="2"/>
        <v>0</v>
      </c>
      <c r="M12" s="94">
        <f t="shared" si="9"/>
        <v>2</v>
      </c>
      <c r="N12" s="90" t="str">
        <f t="shared" si="10"/>
        <v> – 11</v>
      </c>
      <c r="O12" s="94">
        <f t="shared" si="3"/>
        <v>0</v>
      </c>
      <c r="P12" s="94">
        <f t="shared" si="11"/>
        <v>1</v>
      </c>
      <c r="Q12" s="90" t="str">
        <f t="shared" si="12"/>
        <v/>
      </c>
      <c r="R12" s="94">
        <f t="shared" si="4"/>
        <v>0</v>
      </c>
      <c r="S12" s="94">
        <f t="shared" si="13"/>
        <v>2</v>
      </c>
      <c r="T12" s="90" t="str">
        <f t="shared" si="14"/>
        <v> – 11</v>
      </c>
      <c r="U12" s="94">
        <f t="shared" si="5"/>
        <v>0</v>
      </c>
      <c r="V12" s="94">
        <f t="shared" si="15"/>
        <v>3</v>
      </c>
      <c r="W12" s="90" t="str">
        <f t="shared" si="16"/>
        <v/>
      </c>
      <c r="X12" s="94">
        <f t="shared" si="6"/>
        <v>0</v>
      </c>
    </row>
    <row r="13">
      <c r="A13" s="18" t="s">
        <v>74</v>
      </c>
      <c r="B13" s="16">
        <v>4.0</v>
      </c>
      <c r="C13" s="6">
        <f t="shared" si="1"/>
        <v>3</v>
      </c>
      <c r="D13" s="6"/>
      <c r="F13" s="16">
        <v>12.0</v>
      </c>
      <c r="G13" s="16">
        <v>2.0</v>
      </c>
      <c r="H13" s="4">
        <v>3.0</v>
      </c>
      <c r="I13" s="90"/>
      <c r="J13" s="94">
        <f t="shared" si="7"/>
        <v>1</v>
      </c>
      <c r="K13" s="90" t="str">
        <f t="shared" si="8"/>
        <v/>
      </c>
      <c r="L13" s="94">
        <f t="shared" si="2"/>
        <v>0</v>
      </c>
      <c r="M13" s="94">
        <f t="shared" si="9"/>
        <v>2</v>
      </c>
      <c r="N13" s="90" t="str">
        <f t="shared" si="10"/>
        <v> – 12</v>
      </c>
      <c r="O13" s="94">
        <f t="shared" si="3"/>
        <v>0</v>
      </c>
      <c r="P13" s="94">
        <f t="shared" si="11"/>
        <v>1</v>
      </c>
      <c r="Q13" s="90" t="str">
        <f t="shared" si="12"/>
        <v/>
      </c>
      <c r="R13" s="94">
        <f t="shared" si="4"/>
        <v>0</v>
      </c>
      <c r="S13" s="94">
        <f t="shared" si="13"/>
        <v>2</v>
      </c>
      <c r="T13" s="90" t="str">
        <f t="shared" si="14"/>
        <v/>
      </c>
      <c r="U13" s="94">
        <f t="shared" si="5"/>
        <v>0</v>
      </c>
      <c r="V13" s="94">
        <f t="shared" si="15"/>
        <v>3</v>
      </c>
      <c r="W13" s="90" t="str">
        <f t="shared" si="16"/>
        <v>12</v>
      </c>
      <c r="X13" s="94">
        <f t="shared" si="6"/>
        <v>0</v>
      </c>
    </row>
    <row r="14">
      <c r="A14" s="18" t="s">
        <v>5</v>
      </c>
      <c r="B14" s="16">
        <v>15.0</v>
      </c>
      <c r="C14" s="6">
        <f t="shared" si="1"/>
        <v>1</v>
      </c>
      <c r="D14" s="18" t="s">
        <v>75</v>
      </c>
      <c r="F14" s="16">
        <v>13.0</v>
      </c>
      <c r="G14" s="16">
        <v>2.0</v>
      </c>
      <c r="H14" s="4">
        <v>3.0</v>
      </c>
      <c r="I14" s="90"/>
      <c r="J14" s="94">
        <f t="shared" si="7"/>
        <v>1</v>
      </c>
      <c r="K14" s="90" t="str">
        <f t="shared" si="8"/>
        <v/>
      </c>
      <c r="L14" s="94">
        <f t="shared" si="2"/>
        <v>0</v>
      </c>
      <c r="M14" s="94">
        <f t="shared" si="9"/>
        <v>2</v>
      </c>
      <c r="N14" s="90" t="str">
        <f t="shared" si="10"/>
        <v> – 13</v>
      </c>
      <c r="O14" s="94">
        <f t="shared" si="3"/>
        <v>0</v>
      </c>
      <c r="P14" s="94">
        <f t="shared" si="11"/>
        <v>1</v>
      </c>
      <c r="Q14" s="90" t="str">
        <f t="shared" si="12"/>
        <v/>
      </c>
      <c r="R14" s="94">
        <f t="shared" si="4"/>
        <v>0</v>
      </c>
      <c r="S14" s="94">
        <f t="shared" si="13"/>
        <v>2</v>
      </c>
      <c r="T14" s="90" t="str">
        <f t="shared" si="14"/>
        <v/>
      </c>
      <c r="U14" s="94">
        <f t="shared" si="5"/>
        <v>0</v>
      </c>
      <c r="V14" s="94">
        <f t="shared" si="15"/>
        <v>3</v>
      </c>
      <c r="W14" s="90" t="str">
        <f t="shared" si="16"/>
        <v> – 13</v>
      </c>
      <c r="X14" s="94">
        <f t="shared" si="6"/>
        <v>0</v>
      </c>
    </row>
    <row r="15">
      <c r="A15" s="18" t="s">
        <v>76</v>
      </c>
      <c r="B15" s="16">
        <v>5.0</v>
      </c>
      <c r="C15" s="6">
        <f t="shared" si="1"/>
        <v>1</v>
      </c>
      <c r="D15" s="6"/>
      <c r="F15" s="16">
        <v>14.0</v>
      </c>
      <c r="G15" s="16">
        <v>2.0</v>
      </c>
      <c r="H15" s="4">
        <v>3.0</v>
      </c>
      <c r="I15" s="90"/>
      <c r="J15" s="94">
        <f t="shared" si="7"/>
        <v>1</v>
      </c>
      <c r="K15" s="90" t="str">
        <f t="shared" si="8"/>
        <v/>
      </c>
      <c r="L15" s="94">
        <f t="shared" si="2"/>
        <v>0</v>
      </c>
      <c r="M15" s="94">
        <f t="shared" si="9"/>
        <v>2</v>
      </c>
      <c r="N15" s="90" t="str">
        <f t="shared" si="10"/>
        <v> – 14</v>
      </c>
      <c r="O15" s="94">
        <f t="shared" si="3"/>
        <v>0</v>
      </c>
      <c r="P15" s="94">
        <f t="shared" si="11"/>
        <v>1</v>
      </c>
      <c r="Q15" s="90" t="str">
        <f t="shared" si="12"/>
        <v/>
      </c>
      <c r="R15" s="94">
        <f t="shared" si="4"/>
        <v>0</v>
      </c>
      <c r="S15" s="94">
        <f t="shared" si="13"/>
        <v>2</v>
      </c>
      <c r="T15" s="90" t="str">
        <f t="shared" si="14"/>
        <v/>
      </c>
      <c r="U15" s="94">
        <f t="shared" si="5"/>
        <v>0</v>
      </c>
      <c r="V15" s="94">
        <f t="shared" si="15"/>
        <v>3</v>
      </c>
      <c r="W15" s="90" t="str">
        <f t="shared" si="16"/>
        <v> – 14</v>
      </c>
      <c r="X15" s="94">
        <f t="shared" si="6"/>
        <v>0</v>
      </c>
    </row>
    <row r="16">
      <c r="A16" s="18" t="s">
        <v>77</v>
      </c>
      <c r="B16" s="16">
        <v>5.0</v>
      </c>
      <c r="C16" s="6">
        <f t="shared" si="1"/>
        <v>2</v>
      </c>
      <c r="D16" s="18"/>
      <c r="F16" s="16">
        <v>15.0</v>
      </c>
      <c r="G16" s="16">
        <v>2.0</v>
      </c>
      <c r="H16" s="4">
        <v>3.0</v>
      </c>
      <c r="I16" s="90"/>
      <c r="J16" s="94">
        <f t="shared" si="7"/>
        <v>1</v>
      </c>
      <c r="K16" s="90" t="str">
        <f t="shared" si="8"/>
        <v/>
      </c>
      <c r="L16" s="94">
        <f t="shared" si="2"/>
        <v>0</v>
      </c>
      <c r="M16" s="94">
        <f t="shared" si="9"/>
        <v>2</v>
      </c>
      <c r="N16" s="90" t="str">
        <f t="shared" si="10"/>
        <v> – 15</v>
      </c>
      <c r="O16" s="94">
        <f t="shared" si="3"/>
        <v>1</v>
      </c>
      <c r="P16" s="94">
        <f t="shared" si="11"/>
        <v>1</v>
      </c>
      <c r="Q16" s="90" t="str">
        <f t="shared" si="12"/>
        <v/>
      </c>
      <c r="R16" s="94">
        <f t="shared" si="4"/>
        <v>0</v>
      </c>
      <c r="S16" s="94">
        <f t="shared" si="13"/>
        <v>2</v>
      </c>
      <c r="T16" s="90" t="str">
        <f t="shared" si="14"/>
        <v/>
      </c>
      <c r="U16" s="94">
        <f t="shared" si="5"/>
        <v>0</v>
      </c>
      <c r="V16" s="94">
        <f t="shared" si="15"/>
        <v>3</v>
      </c>
      <c r="W16" s="90" t="str">
        <f t="shared" si="16"/>
        <v> – 15</v>
      </c>
      <c r="X16" s="94">
        <f t="shared" si="6"/>
        <v>1</v>
      </c>
    </row>
    <row r="17">
      <c r="A17" s="18" t="s">
        <v>79</v>
      </c>
      <c r="B17" s="16">
        <v>5.0</v>
      </c>
      <c r="C17" s="6">
        <f t="shared" si="1"/>
        <v>3</v>
      </c>
      <c r="D17" s="6"/>
      <c r="F17" s="16">
        <v>16.0</v>
      </c>
      <c r="G17" s="16">
        <v>2.0</v>
      </c>
      <c r="H17" s="4">
        <v>3.0</v>
      </c>
      <c r="I17" s="90"/>
      <c r="J17" s="94">
        <f t="shared" si="7"/>
        <v>1</v>
      </c>
      <c r="K17" s="90" t="str">
        <f t="shared" si="8"/>
        <v/>
      </c>
      <c r="L17" s="94">
        <f t="shared" si="2"/>
        <v>0</v>
      </c>
      <c r="M17" s="94">
        <f t="shared" si="9"/>
        <v>2</v>
      </c>
      <c r="N17" s="90" t="str">
        <f t="shared" si="10"/>
        <v> – 16</v>
      </c>
      <c r="O17" s="94">
        <f t="shared" si="3"/>
        <v>3</v>
      </c>
      <c r="P17" s="94">
        <f t="shared" si="11"/>
        <v>1</v>
      </c>
      <c r="Q17" s="90" t="str">
        <f t="shared" si="12"/>
        <v/>
      </c>
      <c r="R17" s="94">
        <f t="shared" si="4"/>
        <v>0</v>
      </c>
      <c r="S17" s="94">
        <f t="shared" si="13"/>
        <v>2</v>
      </c>
      <c r="T17" s="90" t="str">
        <f t="shared" si="14"/>
        <v/>
      </c>
      <c r="U17" s="94">
        <f t="shared" si="5"/>
        <v>0</v>
      </c>
      <c r="V17" s="94">
        <f t="shared" si="15"/>
        <v>3</v>
      </c>
      <c r="W17" s="90" t="str">
        <f t="shared" si="16"/>
        <v> – 16</v>
      </c>
      <c r="X17" s="94">
        <f t="shared" si="6"/>
        <v>3</v>
      </c>
    </row>
    <row r="18">
      <c r="A18" s="18" t="s">
        <v>3</v>
      </c>
      <c r="B18" s="16">
        <v>6.0</v>
      </c>
      <c r="C18" s="6">
        <f t="shared" si="1"/>
        <v>1</v>
      </c>
      <c r="D18" s="6"/>
      <c r="I18" s="90"/>
      <c r="J18" s="90"/>
      <c r="K18" s="90" t="str">
        <f>K2&amp;K3&amp;K4&amp;K5&amp;K6&amp;K7&amp;K8&amp;K9&amp;K10&amp;K11&amp;K12&amp;K13&amp;K14&amp;K15&amp;K16&amp;K17</f>
        <v>1 – 2 – 3 – 4 – 5 – 6 – 7 – 8</v>
      </c>
      <c r="L18" s="90" t="str">
        <f>IF(SUM(L2:L17)&gt;0," – LV2","")</f>
        <v/>
      </c>
      <c r="M18" s="90"/>
      <c r="N18" s="90" t="str">
        <f>N2&amp;N3&amp;N4&amp;N5&amp;N6&amp;N7&amp;N8&amp;N9&amp;N10&amp;N11&amp;N12&amp;N13&amp;N14&amp;N15&amp;N16&amp;N17</f>
        <v>9 – 10 – 11 – 12 – 13 – 14 – 15 – 16</v>
      </c>
      <c r="O18" s="90" t="str">
        <f>IF(SUM(O2:O17)&gt;0," – LV2","")</f>
        <v> – LV2</v>
      </c>
      <c r="P18" s="90"/>
      <c r="Q18" s="90" t="str">
        <f>Q2&amp;Q3&amp;Q4&amp;Q5&amp;Q6&amp;Q7&amp;Q8&amp;Q9&amp;Q10&amp;Q11&amp;Q12&amp;Q13&amp;Q14&amp;Q15&amp;Q16&amp;Q17</f>
        <v>1 – 2 – 3 – 4 – 5 – 6</v>
      </c>
      <c r="R18" s="90" t="str">
        <f>IF(SUM(R2:R17)&gt;0," – LV2","")</f>
        <v/>
      </c>
      <c r="S18" s="90"/>
      <c r="T18" s="90" t="str">
        <f>T2&amp;T3&amp;T4&amp;T5&amp;T6&amp;T7&amp;T8&amp;T9&amp;T10&amp;T11&amp;T12&amp;T13&amp;T14&amp;T15&amp;T16&amp;T17</f>
        <v>7 – 8 – 9 – 10 – 11</v>
      </c>
      <c r="U18" s="90" t="str">
        <f>IF(SUM(U2:U17)&gt;0," – LV2","")</f>
        <v/>
      </c>
      <c r="V18" s="90"/>
      <c r="W18" s="90" t="str">
        <f>W2&amp;W3&amp;W4&amp;W5&amp;W6&amp;W7&amp;W8&amp;W9&amp;W10&amp;W11&amp;W12&amp;W13&amp;W14&amp;W15&amp;W16&amp;W17</f>
        <v>12 – 13 – 14 – 15 – 16</v>
      </c>
      <c r="X18" s="90" t="str">
        <f>IF(SUM(X2:X17)&gt;0," – LV2","")</f>
        <v> – LV2</v>
      </c>
    </row>
    <row r="19">
      <c r="A19" s="18" t="s">
        <v>81</v>
      </c>
      <c r="B19" s="16">
        <v>6.0</v>
      </c>
      <c r="C19" s="6">
        <f t="shared" si="1"/>
        <v>2</v>
      </c>
      <c r="D19" s="6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</row>
    <row r="20">
      <c r="A20" s="18" t="s">
        <v>82</v>
      </c>
      <c r="B20" s="16">
        <v>6.0</v>
      </c>
      <c r="C20" s="6">
        <f t="shared" si="1"/>
        <v>3</v>
      </c>
      <c r="D20" s="6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</row>
    <row r="21">
      <c r="A21" s="18" t="s">
        <v>83</v>
      </c>
      <c r="B21" s="16">
        <v>7.0</v>
      </c>
      <c r="C21" s="6">
        <f t="shared" si="1"/>
        <v>1</v>
      </c>
      <c r="D21" s="18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</row>
    <row r="22">
      <c r="A22" s="18" t="s">
        <v>84</v>
      </c>
      <c r="B22" s="16">
        <v>7.0</v>
      </c>
      <c r="C22" s="6">
        <f t="shared" si="1"/>
        <v>2</v>
      </c>
      <c r="D22" s="6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</row>
    <row r="23">
      <c r="A23" s="18" t="s">
        <v>85</v>
      </c>
      <c r="B23" s="16">
        <v>7.0</v>
      </c>
      <c r="C23" s="6">
        <f t="shared" si="1"/>
        <v>3</v>
      </c>
      <c r="D23" s="18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</row>
    <row r="24">
      <c r="A24" s="18" t="s">
        <v>86</v>
      </c>
      <c r="B24" s="16">
        <v>8.0</v>
      </c>
      <c r="C24" s="6">
        <f t="shared" si="1"/>
        <v>1</v>
      </c>
      <c r="D24" s="18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</row>
    <row r="25">
      <c r="A25" s="18" t="s">
        <v>87</v>
      </c>
      <c r="B25" s="16">
        <v>8.0</v>
      </c>
      <c r="C25" s="6">
        <f t="shared" si="1"/>
        <v>2</v>
      </c>
      <c r="D25" s="6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</row>
    <row r="26">
      <c r="A26" s="18" t="s">
        <v>88</v>
      </c>
      <c r="B26" s="16">
        <v>8.0</v>
      </c>
      <c r="C26" s="6">
        <f t="shared" si="1"/>
        <v>3</v>
      </c>
      <c r="D26" s="6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A27" s="18" t="s">
        <v>89</v>
      </c>
      <c r="B27" s="16">
        <v>9.0</v>
      </c>
      <c r="C27" s="6">
        <f t="shared" si="1"/>
        <v>1</v>
      </c>
      <c r="D27" s="6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>
      <c r="A28" s="18" t="s">
        <v>90</v>
      </c>
      <c r="B28" s="16">
        <v>9.0</v>
      </c>
      <c r="C28" s="6">
        <f t="shared" si="1"/>
        <v>2</v>
      </c>
      <c r="D28" s="18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>
      <c r="A29" s="18" t="s">
        <v>91</v>
      </c>
      <c r="B29" s="16">
        <v>16.0</v>
      </c>
      <c r="C29" s="6">
        <f t="shared" si="1"/>
        <v>1</v>
      </c>
      <c r="D29" s="18" t="s">
        <v>92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A30" s="18" t="s">
        <v>93</v>
      </c>
      <c r="B30" s="16">
        <v>16.0</v>
      </c>
      <c r="C30" s="6">
        <f t="shared" si="1"/>
        <v>2</v>
      </c>
      <c r="D30" s="18" t="s">
        <v>92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8" t="s">
        <v>94</v>
      </c>
      <c r="B31" s="16">
        <v>10.0</v>
      </c>
      <c r="C31" s="6">
        <f t="shared" si="1"/>
        <v>1</v>
      </c>
      <c r="D31" s="6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</row>
    <row r="32">
      <c r="A32" s="18" t="s">
        <v>95</v>
      </c>
      <c r="B32" s="16">
        <v>10.0</v>
      </c>
      <c r="C32" s="6">
        <f t="shared" si="1"/>
        <v>2</v>
      </c>
      <c r="D32" s="18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>
      <c r="A33" s="18" t="s">
        <v>96</v>
      </c>
      <c r="B33" s="16">
        <v>16.0</v>
      </c>
      <c r="C33" s="6">
        <f t="shared" si="1"/>
        <v>3</v>
      </c>
      <c r="D33" s="18" t="s">
        <v>75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</row>
    <row r="34">
      <c r="A34" s="18" t="s">
        <v>97</v>
      </c>
      <c r="B34" s="16">
        <v>10.0</v>
      </c>
      <c r="C34" s="6">
        <f t="shared" si="1"/>
        <v>3</v>
      </c>
      <c r="D34" s="6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>
      <c r="A35" s="18" t="s">
        <v>98</v>
      </c>
      <c r="B35" s="16">
        <v>11.0</v>
      </c>
      <c r="C35" s="6">
        <f t="shared" si="1"/>
        <v>1</v>
      </c>
      <c r="D35" s="18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>
      <c r="A36" s="18" t="s">
        <v>99</v>
      </c>
      <c r="B36" s="16">
        <v>11.0</v>
      </c>
      <c r="C36" s="6">
        <f t="shared" si="1"/>
        <v>2</v>
      </c>
      <c r="D36" s="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>
      <c r="A37" s="18" t="s">
        <v>100</v>
      </c>
      <c r="B37" s="16">
        <v>11.0</v>
      </c>
      <c r="C37" s="6">
        <f t="shared" si="1"/>
        <v>3</v>
      </c>
      <c r="D37" s="6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>
      <c r="A38" s="18" t="s">
        <v>101</v>
      </c>
      <c r="B38" s="16">
        <v>12.0</v>
      </c>
      <c r="C38" s="6">
        <f t="shared" si="1"/>
        <v>1</v>
      </c>
      <c r="D38" s="6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</row>
    <row r="39">
      <c r="A39" s="18" t="s">
        <v>102</v>
      </c>
      <c r="B39" s="16">
        <v>12.0</v>
      </c>
      <c r="C39" s="6">
        <f t="shared" si="1"/>
        <v>2</v>
      </c>
      <c r="D39" s="6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</row>
    <row r="40">
      <c r="A40" s="18" t="s">
        <v>103</v>
      </c>
      <c r="B40" s="16">
        <v>12.0</v>
      </c>
      <c r="C40" s="6">
        <f t="shared" si="1"/>
        <v>3</v>
      </c>
      <c r="D40" s="18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</row>
    <row r="41">
      <c r="A41" s="18" t="s">
        <v>104</v>
      </c>
      <c r="B41" s="16">
        <v>13.0</v>
      </c>
      <c r="C41" s="6">
        <f t="shared" si="1"/>
        <v>1</v>
      </c>
      <c r="D41" s="6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</row>
    <row r="42">
      <c r="A42" s="18" t="s">
        <v>105</v>
      </c>
      <c r="B42" s="16">
        <v>13.0</v>
      </c>
      <c r="C42" s="6">
        <f t="shared" si="1"/>
        <v>2</v>
      </c>
      <c r="D42" s="6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</row>
    <row r="43">
      <c r="A43" s="18" t="s">
        <v>106</v>
      </c>
      <c r="B43" s="16">
        <v>13.0</v>
      </c>
      <c r="C43" s="6">
        <f t="shared" si="1"/>
        <v>3</v>
      </c>
      <c r="D43" s="18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8" t="s">
        <v>107</v>
      </c>
      <c r="B44" s="16">
        <v>14.0</v>
      </c>
      <c r="C44" s="6">
        <f t="shared" si="1"/>
        <v>1</v>
      </c>
      <c r="D44" s="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</row>
    <row r="45">
      <c r="A45" s="18" t="s">
        <v>108</v>
      </c>
      <c r="B45" s="16">
        <v>14.0</v>
      </c>
      <c r="C45" s="6">
        <f t="shared" si="1"/>
        <v>2</v>
      </c>
      <c r="D45" s="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</row>
    <row r="46">
      <c r="A46" s="18" t="s">
        <v>109</v>
      </c>
      <c r="B46" s="16">
        <v>14.0</v>
      </c>
      <c r="C46" s="6">
        <f t="shared" si="1"/>
        <v>3</v>
      </c>
      <c r="D46" s="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</row>
    <row r="47">
      <c r="A47" s="18" t="s">
        <v>110</v>
      </c>
      <c r="B47" s="16">
        <v>9.0</v>
      </c>
      <c r="C47" s="6">
        <f t="shared" si="1"/>
        <v>3</v>
      </c>
      <c r="D47" s="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</row>
    <row r="48">
      <c r="A48" s="18" t="s">
        <v>111</v>
      </c>
      <c r="B48" s="16">
        <v>15.0</v>
      </c>
      <c r="C48" s="6">
        <f t="shared" si="1"/>
        <v>2</v>
      </c>
      <c r="D48" s="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</row>
    <row r="49"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</row>
    <row r="50"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</row>
    <row r="51"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</row>
    <row r="52"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</row>
    <row r="53"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</row>
    <row r="54"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</row>
    <row r="55"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</row>
    <row r="56"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</row>
    <row r="58"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</row>
    <row r="59"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</row>
    <row r="60"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</row>
    <row r="61"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</row>
    <row r="62"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</row>
    <row r="63"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</row>
    <row r="64"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</row>
    <row r="65"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</row>
    <row r="66"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</row>
    <row r="67"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</row>
    <row r="68"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</row>
    <row r="69"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</row>
    <row r="71"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</row>
    <row r="72"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</row>
    <row r="73"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</row>
    <row r="74"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</row>
    <row r="75"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</row>
    <row r="76"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</row>
    <row r="77"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</row>
    <row r="78"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</row>
    <row r="79"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</row>
    <row r="80"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</row>
    <row r="81"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</row>
    <row r="82"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</row>
    <row r="84"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</row>
    <row r="85"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</row>
    <row r="86"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</row>
    <row r="87"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</row>
    <row r="88"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</row>
    <row r="89"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</row>
    <row r="90"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</row>
    <row r="91"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</row>
    <row r="92"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</row>
    <row r="93"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</row>
    <row r="94"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</row>
    <row r="95"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</row>
    <row r="97"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</row>
    <row r="98"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</row>
    <row r="99"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</row>
    <row r="100"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</row>
    <row r="101"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</row>
    <row r="102"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</row>
    <row r="103"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</row>
    <row r="104"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</row>
    <row r="105"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</row>
    <row r="106"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</row>
    <row r="107"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</row>
    <row r="108"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</row>
    <row r="110"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</row>
    <row r="111"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</row>
    <row r="112"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</row>
    <row r="113"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</row>
    <row r="114"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</row>
    <row r="115"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</row>
    <row r="116"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</row>
    <row r="117"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</row>
    <row r="118"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</row>
    <row r="119"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</row>
    <row r="120"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</row>
    <row r="121"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</row>
    <row r="123"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</row>
    <row r="124"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</row>
    <row r="125"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</row>
    <row r="126"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</row>
    <row r="127"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</row>
    <row r="128"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</row>
    <row r="129"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</row>
    <row r="130"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</row>
    <row r="131"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</row>
    <row r="132"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</row>
    <row r="133"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</row>
    <row r="134"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</row>
    <row r="136"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</row>
    <row r="137"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</row>
    <row r="138"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</row>
    <row r="139"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</row>
    <row r="140"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</row>
    <row r="141"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</row>
    <row r="142"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</row>
    <row r="143"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</row>
    <row r="144"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</row>
    <row r="145"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</row>
    <row r="146"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</row>
    <row r="147"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</row>
    <row r="148"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</row>
    <row r="149"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</row>
    <row r="150"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</row>
    <row r="151"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</row>
    <row r="152"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</row>
    <row r="153"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</row>
    <row r="154"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</row>
    <row r="155"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</row>
    <row r="156"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</row>
    <row r="157"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</row>
    <row r="158"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</row>
    <row r="159"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</row>
    <row r="160"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</row>
    <row r="161"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</row>
    <row r="162"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</row>
    <row r="163"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</row>
    <row r="164"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</row>
    <row r="165"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</row>
    <row r="166"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</row>
    <row r="167"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</row>
    <row r="168"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</row>
    <row r="169"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</row>
    <row r="170"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</row>
    <row r="171"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</row>
    <row r="172"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</row>
    <row r="173"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</row>
    <row r="174"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</row>
    <row r="175"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</row>
    <row r="176"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</row>
    <row r="177"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</row>
    <row r="178"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</row>
    <row r="179"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</row>
    <row r="180"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</row>
    <row r="181"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</row>
    <row r="182"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</row>
    <row r="183"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</row>
    <row r="184"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</row>
    <row r="185"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</row>
    <row r="186"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</row>
    <row r="187"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</row>
    <row r="188"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</row>
    <row r="189"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</row>
    <row r="190"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</row>
    <row r="191"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</row>
    <row r="192"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</row>
    <row r="193"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</row>
    <row r="194"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</row>
    <row r="195"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</row>
    <row r="196"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</row>
    <row r="197"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</row>
    <row r="198"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</row>
    <row r="199"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</row>
    <row r="200"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</row>
    <row r="201"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</row>
    <row r="202"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</row>
    <row r="203"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</row>
    <row r="204"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</row>
    <row r="205"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</row>
    <row r="206"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</row>
    <row r="207"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</row>
    <row r="208"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</row>
    <row r="209"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</row>
    <row r="210"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</row>
    <row r="211"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</row>
    <row r="212"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</row>
    <row r="213"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</row>
    <row r="214"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</row>
    <row r="215"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</row>
    <row r="216"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</row>
    <row r="217"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</row>
    <row r="218"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</row>
    <row r="219"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</row>
    <row r="220"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</row>
    <row r="221"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</row>
    <row r="222"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</row>
    <row r="223"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</row>
    <row r="224"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</row>
    <row r="225"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</row>
    <row r="226"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</row>
    <row r="227"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</row>
    <row r="228"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</row>
    <row r="229"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</row>
    <row r="230"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</row>
    <row r="231"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</row>
    <row r="232"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</row>
    <row r="233"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</row>
    <row r="234"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</row>
    <row r="235"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</row>
    <row r="236"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</row>
    <row r="237"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</row>
    <row r="238"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</row>
    <row r="239"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</row>
    <row r="240"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</row>
    <row r="241"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</row>
    <row r="242"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</row>
    <row r="243"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</row>
    <row r="244"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</row>
    <row r="245"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</row>
    <row r="246"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</row>
    <row r="247"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</row>
    <row r="248"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</row>
    <row r="249"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</row>
    <row r="250"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</row>
    <row r="251"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</row>
    <row r="252"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</row>
    <row r="253"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</row>
    <row r="254"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</row>
    <row r="255"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</row>
    <row r="256"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</row>
    <row r="257"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</row>
    <row r="258"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</row>
    <row r="259"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</row>
    <row r="260"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</row>
    <row r="261"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</row>
    <row r="262"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</row>
    <row r="263"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</row>
    <row r="264"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</row>
    <row r="265"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</row>
    <row r="266"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</row>
    <row r="267"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</row>
    <row r="268"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</row>
    <row r="269"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</row>
    <row r="270"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</row>
    <row r="271"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</row>
    <row r="272"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</row>
    <row r="273"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</row>
    <row r="274"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</row>
    <row r="275"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</row>
    <row r="276"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</row>
    <row r="277"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</row>
    <row r="278"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</row>
    <row r="279"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</row>
    <row r="280"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</row>
    <row r="281"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</row>
    <row r="282"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</row>
    <row r="283"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</row>
    <row r="284"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</row>
    <row r="285"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</row>
    <row r="286"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</row>
    <row r="287"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</row>
    <row r="288"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</row>
    <row r="289"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</row>
    <row r="290"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</row>
    <row r="291"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</row>
    <row r="292"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</row>
    <row r="293"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</row>
    <row r="294"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</row>
    <row r="295"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</row>
    <row r="296"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</row>
    <row r="297"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</row>
    <row r="298"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</row>
    <row r="299"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</row>
    <row r="300"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</row>
    <row r="301"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</row>
    <row r="302"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</row>
    <row r="303"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</row>
    <row r="304"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</row>
    <row r="305"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</row>
    <row r="306"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</row>
    <row r="307"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</row>
    <row r="308"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</row>
    <row r="309"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</row>
    <row r="310"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</row>
    <row r="311"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</row>
    <row r="312"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</row>
    <row r="313"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</row>
    <row r="314"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</row>
    <row r="315"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</row>
    <row r="316"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</row>
    <row r="317"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</row>
    <row r="318"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</row>
    <row r="319"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</row>
    <row r="320"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</row>
    <row r="321"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</row>
    <row r="322"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</row>
    <row r="323"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</row>
    <row r="324"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</row>
    <row r="325"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</row>
    <row r="326"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</row>
    <row r="327"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</row>
    <row r="328"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</row>
    <row r="329"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</row>
    <row r="330"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</row>
    <row r="331"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</row>
    <row r="332"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</row>
    <row r="333"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</row>
    <row r="334"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</row>
    <row r="335"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</row>
    <row r="336"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</row>
    <row r="337"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</row>
    <row r="338"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</row>
    <row r="339"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</row>
    <row r="340"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</row>
    <row r="341"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</row>
    <row r="342"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</row>
    <row r="343"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</row>
    <row r="344"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</row>
    <row r="345"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</row>
    <row r="346"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</row>
    <row r="347"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</row>
    <row r="348"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</row>
    <row r="349"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</row>
    <row r="350"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</row>
    <row r="351"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</row>
    <row r="352"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</row>
    <row r="353"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</row>
    <row r="354"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</row>
    <row r="355"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</row>
    <row r="356"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</row>
    <row r="357"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</row>
    <row r="358"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</row>
    <row r="359"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</row>
    <row r="360"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</row>
    <row r="361"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</row>
    <row r="362"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</row>
    <row r="363"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</row>
    <row r="364"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</row>
    <row r="365"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</row>
    <row r="366"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</row>
    <row r="367"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</row>
    <row r="368"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</row>
    <row r="369"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</row>
    <row r="370"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</row>
    <row r="371"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</row>
    <row r="372"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</row>
    <row r="373"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</row>
    <row r="374"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</row>
    <row r="375"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</row>
    <row r="376"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</row>
    <row r="377"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</row>
    <row r="378"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</row>
    <row r="379"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</row>
    <row r="380"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</row>
    <row r="381"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</row>
    <row r="382"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</row>
    <row r="383"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</row>
    <row r="384"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</row>
    <row r="385"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</row>
    <row r="386"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</row>
    <row r="387"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</row>
    <row r="388"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</row>
    <row r="389"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</row>
    <row r="390"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</row>
    <row r="391"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</row>
    <row r="392"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</row>
    <row r="393"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</row>
    <row r="394"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</row>
    <row r="395"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</row>
    <row r="396"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</row>
    <row r="397"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</row>
    <row r="398"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</row>
    <row r="399"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</row>
    <row r="400"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</row>
    <row r="401"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</row>
    <row r="402"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</row>
    <row r="403"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</row>
    <row r="404"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</row>
    <row r="405"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</row>
    <row r="406"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</row>
    <row r="407"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</row>
    <row r="408"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</row>
    <row r="409"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</row>
    <row r="410"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</row>
    <row r="411"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</row>
    <row r="412"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</row>
    <row r="413"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</row>
    <row r="414"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</row>
    <row r="415"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</row>
    <row r="416"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</row>
    <row r="417"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</row>
    <row r="418"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</row>
    <row r="419"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</row>
    <row r="420"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</row>
    <row r="421"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</row>
    <row r="422"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</row>
    <row r="423"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</row>
    <row r="424"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</row>
    <row r="425"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</row>
    <row r="426"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</row>
    <row r="427"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</row>
    <row r="428"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</row>
    <row r="429"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</row>
    <row r="430"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</row>
    <row r="431"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</row>
    <row r="432"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</row>
    <row r="433"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</row>
    <row r="434"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</row>
    <row r="435"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</row>
    <row r="436"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</row>
    <row r="437"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</row>
    <row r="438"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</row>
    <row r="439"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</row>
    <row r="440"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</row>
    <row r="441"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</row>
    <row r="442"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</row>
    <row r="443"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</row>
    <row r="444"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</row>
    <row r="445"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</row>
    <row r="446"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</row>
    <row r="447"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</row>
    <row r="448"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</row>
    <row r="449"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</row>
    <row r="450"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</row>
    <row r="451"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</row>
    <row r="452"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</row>
    <row r="453"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</row>
    <row r="454"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</row>
    <row r="455"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</row>
    <row r="456"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</row>
    <row r="457"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</row>
    <row r="458"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</row>
    <row r="459"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</row>
    <row r="460"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</row>
    <row r="461"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</row>
    <row r="462"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</row>
    <row r="463"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</row>
    <row r="464"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</row>
    <row r="465"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</row>
    <row r="466"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</row>
    <row r="467"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</row>
    <row r="468"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</row>
    <row r="469"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</row>
    <row r="470"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</row>
    <row r="471"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</row>
    <row r="472"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</row>
    <row r="473"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</row>
    <row r="474"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</row>
    <row r="475"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</row>
    <row r="476"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</row>
    <row r="477"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</row>
    <row r="478"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</row>
    <row r="479"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</row>
    <row r="480"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</row>
    <row r="481"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</row>
    <row r="482"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</row>
    <row r="483"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</row>
    <row r="484"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</row>
    <row r="485"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</row>
    <row r="486"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</row>
    <row r="487"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</row>
    <row r="488"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</row>
    <row r="489"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</row>
    <row r="490"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</row>
    <row r="491"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</row>
    <row r="492"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</row>
    <row r="493"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</row>
    <row r="494"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</row>
    <row r="495"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</row>
    <row r="496"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</row>
    <row r="497"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</row>
    <row r="498"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</row>
    <row r="499"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</row>
    <row r="500"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</row>
    <row r="501"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</row>
    <row r="502"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</row>
    <row r="503"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</row>
    <row r="504"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</row>
    <row r="505"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</row>
    <row r="506"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</row>
    <row r="507"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</row>
    <row r="508"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</row>
    <row r="509"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</row>
    <row r="510"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</row>
    <row r="511"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</row>
    <row r="512"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</row>
    <row r="513"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</row>
    <row r="514"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</row>
    <row r="515"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</row>
    <row r="516"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</row>
    <row r="517"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</row>
    <row r="518"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</row>
    <row r="519"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</row>
    <row r="520"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</row>
    <row r="521"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</row>
    <row r="522"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</row>
    <row r="523"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</row>
    <row r="524"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</row>
    <row r="525"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</row>
    <row r="526"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</row>
    <row r="527"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</row>
    <row r="528"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</row>
    <row r="529"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</row>
    <row r="530"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</row>
    <row r="531"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</row>
    <row r="532"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</row>
    <row r="533"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</row>
    <row r="534"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</row>
    <row r="535"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</row>
    <row r="536"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</row>
    <row r="537"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</row>
    <row r="538"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</row>
    <row r="539"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</row>
    <row r="540"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</row>
    <row r="541"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</row>
    <row r="542"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</row>
    <row r="543"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</row>
    <row r="544"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</row>
    <row r="545"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</row>
    <row r="546"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</row>
    <row r="547"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</row>
    <row r="548"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</row>
    <row r="549"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</row>
    <row r="550"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</row>
    <row r="551"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</row>
    <row r="552"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</row>
    <row r="553"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</row>
    <row r="554"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</row>
    <row r="555"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</row>
    <row r="556"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</row>
    <row r="557"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</row>
    <row r="558"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</row>
    <row r="559"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</row>
    <row r="560"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</row>
    <row r="561"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</row>
    <row r="562"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</row>
    <row r="563"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</row>
    <row r="564"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</row>
    <row r="565"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</row>
    <row r="566"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</row>
    <row r="567"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</row>
    <row r="568"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</row>
    <row r="569"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</row>
    <row r="570"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</row>
    <row r="571"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</row>
    <row r="572"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</row>
    <row r="573"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</row>
    <row r="574"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</row>
    <row r="575"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</row>
    <row r="576"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</row>
    <row r="577"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</row>
    <row r="578"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</row>
    <row r="579"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</row>
    <row r="580"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</row>
    <row r="581"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</row>
    <row r="582"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</row>
    <row r="583"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</row>
    <row r="584"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</row>
    <row r="585"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</row>
    <row r="586"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</row>
    <row r="587"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</row>
    <row r="588"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</row>
    <row r="589"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</row>
    <row r="590"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</row>
    <row r="591"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</row>
    <row r="592"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</row>
    <row r="593"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</row>
    <row r="594"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</row>
    <row r="595"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</row>
    <row r="596"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</row>
    <row r="597"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</row>
    <row r="598"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</row>
    <row r="599"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</row>
    <row r="600"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</row>
    <row r="601"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</row>
    <row r="602"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</row>
    <row r="603"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</row>
    <row r="604"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</row>
    <row r="605"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</row>
    <row r="606"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</row>
    <row r="607"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</row>
    <row r="608"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</row>
    <row r="609"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</row>
    <row r="610"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</row>
    <row r="611"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</row>
    <row r="612"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</row>
    <row r="613"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</row>
    <row r="614"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</row>
    <row r="615"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</row>
    <row r="616"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</row>
    <row r="617"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</row>
    <row r="618"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</row>
    <row r="619"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</row>
    <row r="620"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</row>
    <row r="621"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</row>
    <row r="622"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</row>
    <row r="623"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</row>
    <row r="624"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</row>
    <row r="625"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</row>
    <row r="626"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</row>
    <row r="627"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</row>
    <row r="628"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</row>
    <row r="629"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</row>
    <row r="630"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</row>
    <row r="631"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</row>
    <row r="632"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</row>
    <row r="633"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</row>
    <row r="634"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</row>
    <row r="635"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</row>
    <row r="636"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</row>
    <row r="637"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</row>
    <row r="638"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</row>
    <row r="639"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</row>
    <row r="640"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</row>
    <row r="641"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</row>
    <row r="642"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</row>
    <row r="643"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</row>
    <row r="644"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</row>
    <row r="645"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</row>
    <row r="646"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</row>
    <row r="647"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</row>
    <row r="648"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</row>
    <row r="649"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</row>
    <row r="650"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</row>
    <row r="651"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</row>
    <row r="652"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</row>
    <row r="653"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</row>
    <row r="654"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</row>
    <row r="655"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</row>
    <row r="656"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</row>
    <row r="657"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</row>
    <row r="658"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</row>
    <row r="659"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</row>
    <row r="660"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</row>
    <row r="661"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</row>
    <row r="662"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</row>
    <row r="663"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</row>
    <row r="664"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</row>
    <row r="665"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</row>
    <row r="666"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</row>
    <row r="667"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</row>
    <row r="668"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</row>
    <row r="669"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</row>
    <row r="670"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</row>
    <row r="671"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</row>
    <row r="672"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</row>
    <row r="673"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</row>
    <row r="674"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</row>
    <row r="675"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</row>
    <row r="676"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</row>
    <row r="677"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</row>
    <row r="678"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</row>
    <row r="679"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</row>
    <row r="680"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</row>
    <row r="681"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</row>
    <row r="682"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</row>
    <row r="683"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</row>
    <row r="684"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</row>
    <row r="685"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</row>
    <row r="686"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</row>
    <row r="687"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</row>
    <row r="688"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</row>
    <row r="689"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</row>
    <row r="690"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</row>
    <row r="691"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</row>
    <row r="692"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</row>
    <row r="693"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</row>
    <row r="694"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</row>
    <row r="695"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</row>
    <row r="696"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</row>
    <row r="697"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</row>
    <row r="698"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</row>
    <row r="699"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</row>
    <row r="700"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</row>
    <row r="701"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</row>
    <row r="702"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</row>
    <row r="703"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</row>
    <row r="704"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</row>
    <row r="705"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</row>
    <row r="706"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</row>
    <row r="707"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</row>
    <row r="708"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</row>
    <row r="709"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</row>
    <row r="710"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</row>
    <row r="711"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</row>
    <row r="712"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</row>
    <row r="713"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</row>
    <row r="714"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</row>
    <row r="715"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</row>
    <row r="716"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</row>
    <row r="717"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</row>
    <row r="718"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</row>
    <row r="719"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</row>
    <row r="720"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</row>
    <row r="721"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</row>
    <row r="722"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</row>
    <row r="723"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</row>
    <row r="724"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</row>
    <row r="725"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</row>
    <row r="726"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</row>
    <row r="727"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</row>
    <row r="728"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</row>
    <row r="729"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</row>
    <row r="730"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</row>
    <row r="731"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</row>
    <row r="732"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</row>
    <row r="733"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</row>
    <row r="734"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</row>
    <row r="735"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</row>
    <row r="736"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</row>
    <row r="737"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</row>
    <row r="738"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</row>
    <row r="739"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</row>
    <row r="740"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</row>
    <row r="741"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</row>
    <row r="742"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</row>
    <row r="743"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</row>
    <row r="744"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</row>
    <row r="745"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</row>
    <row r="746"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</row>
    <row r="747"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</row>
    <row r="748"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</row>
    <row r="749"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</row>
    <row r="750"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</row>
    <row r="751"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</row>
    <row r="752"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</row>
    <row r="753"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</row>
    <row r="754"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</row>
    <row r="755"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</row>
    <row r="756"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</row>
    <row r="757"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</row>
    <row r="758"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</row>
    <row r="759"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</row>
    <row r="760"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</row>
    <row r="761"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</row>
    <row r="762"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</row>
    <row r="763"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</row>
    <row r="764"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</row>
    <row r="765"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</row>
    <row r="766"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</row>
    <row r="767"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</row>
    <row r="768"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</row>
    <row r="769"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</row>
    <row r="770"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</row>
    <row r="771"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</row>
    <row r="772"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</row>
    <row r="773"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</row>
    <row r="774"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</row>
    <row r="775"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</row>
    <row r="776"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</row>
    <row r="777"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</row>
    <row r="778"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</row>
    <row r="779"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</row>
    <row r="780"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</row>
    <row r="781"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</row>
    <row r="782"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</row>
    <row r="783"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</row>
    <row r="784"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</row>
    <row r="785"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</row>
    <row r="786"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</row>
    <row r="787"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</row>
    <row r="788"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</row>
    <row r="789"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</row>
    <row r="790"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</row>
    <row r="791"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</row>
    <row r="792"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</row>
    <row r="793"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</row>
    <row r="794"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</row>
    <row r="795"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</row>
    <row r="796"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</row>
    <row r="797"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</row>
    <row r="798"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</row>
    <row r="799"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</row>
    <row r="800"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</row>
    <row r="801"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</row>
    <row r="802"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</row>
    <row r="803"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</row>
    <row r="804"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</row>
    <row r="805"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</row>
    <row r="806"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</row>
    <row r="807"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</row>
    <row r="808"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</row>
    <row r="809"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</row>
    <row r="810"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</row>
    <row r="811"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</row>
    <row r="812"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</row>
    <row r="813"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</row>
    <row r="814"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</row>
    <row r="815"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</row>
    <row r="816"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</row>
    <row r="817"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</row>
    <row r="818"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</row>
    <row r="819"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</row>
    <row r="820"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</row>
    <row r="821"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</row>
    <row r="822"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</row>
    <row r="823"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</row>
    <row r="824"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</row>
    <row r="825"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</row>
    <row r="826"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</row>
    <row r="827"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</row>
    <row r="828"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</row>
    <row r="829"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</row>
    <row r="830"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</row>
    <row r="831"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</row>
    <row r="832"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</row>
    <row r="833"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</row>
    <row r="834"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</row>
    <row r="835"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</row>
    <row r="836"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</row>
    <row r="837"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</row>
    <row r="838"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</row>
    <row r="839"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</row>
    <row r="840"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</row>
    <row r="841"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</row>
    <row r="842"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</row>
    <row r="843"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</row>
    <row r="844"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</row>
    <row r="845"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</row>
    <row r="846"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</row>
    <row r="847"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</row>
    <row r="848"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</row>
    <row r="849"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</row>
    <row r="850"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</row>
    <row r="851"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</row>
    <row r="852"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</row>
    <row r="853"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</row>
    <row r="854"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</row>
    <row r="855"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</row>
    <row r="856"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</row>
    <row r="857"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</row>
    <row r="858"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</row>
    <row r="859"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</row>
    <row r="860"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</row>
    <row r="861"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</row>
    <row r="862"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</row>
    <row r="863"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</row>
    <row r="864"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</row>
    <row r="865"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</row>
    <row r="866"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</row>
    <row r="867"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</row>
    <row r="868"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</row>
    <row r="869"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</row>
    <row r="870"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</row>
    <row r="871"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</row>
    <row r="872"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</row>
    <row r="873"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</row>
    <row r="874"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</row>
    <row r="875"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</row>
    <row r="876"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</row>
    <row r="877"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</row>
    <row r="878"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</row>
    <row r="879"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</row>
    <row r="880"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</row>
    <row r="881"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</row>
    <row r="882"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</row>
    <row r="883"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</row>
    <row r="884"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</row>
    <row r="885"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</row>
    <row r="886"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</row>
    <row r="887"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</row>
    <row r="888"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</row>
    <row r="889"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</row>
    <row r="890"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</row>
    <row r="891"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</row>
    <row r="892"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</row>
    <row r="893"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</row>
    <row r="894"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</row>
    <row r="895"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</row>
    <row r="896"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</row>
    <row r="897"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</row>
    <row r="898"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</row>
    <row r="899"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</row>
    <row r="900"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</row>
    <row r="901"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</row>
    <row r="902"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</row>
    <row r="903"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</row>
    <row r="904"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</row>
    <row r="905"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</row>
    <row r="906"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</row>
    <row r="907"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</row>
    <row r="908"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</row>
    <row r="909"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</row>
    <row r="910"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</row>
    <row r="911"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</row>
    <row r="912"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</row>
    <row r="913"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</row>
    <row r="914"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</row>
    <row r="915"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</row>
    <row r="916"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</row>
    <row r="917"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</row>
    <row r="918"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</row>
    <row r="919"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</row>
    <row r="920"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</row>
    <row r="921"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</row>
    <row r="922"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</row>
    <row r="923"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</row>
    <row r="924"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</row>
    <row r="925"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</row>
    <row r="926"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</row>
    <row r="927"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</row>
    <row r="928"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</row>
    <row r="929"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</row>
    <row r="930"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</row>
    <row r="931"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</row>
    <row r="932"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</row>
    <row r="933"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</row>
    <row r="934"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</row>
    <row r="935"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</row>
    <row r="936"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</row>
    <row r="937"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</row>
    <row r="938"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</row>
    <row r="939"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</row>
    <row r="940"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</row>
    <row r="941"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</row>
    <row r="942"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</row>
    <row r="943"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</row>
    <row r="944"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</row>
    <row r="945"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</row>
    <row r="946"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</row>
    <row r="947"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</row>
    <row r="948"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</row>
    <row r="949"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</row>
    <row r="950"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</row>
    <row r="951"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</row>
    <row r="952"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</row>
    <row r="953"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</row>
    <row r="954"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</row>
    <row r="955"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</row>
    <row r="956"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</row>
    <row r="957"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</row>
    <row r="958"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</row>
    <row r="959"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</row>
    <row r="960"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</row>
    <row r="961"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</row>
    <row r="962"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</row>
    <row r="963"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</row>
    <row r="964"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</row>
    <row r="965"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</row>
    <row r="966"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</row>
    <row r="967"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</row>
    <row r="968"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</row>
    <row r="969"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</row>
    <row r="970"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</row>
    <row r="971"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</row>
    <row r="972"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</row>
    <row r="973"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</row>
    <row r="974"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</row>
    <row r="975"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</row>
    <row r="976"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</row>
    <row r="977"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</row>
    <row r="978"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</row>
    <row r="979"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</row>
    <row r="980"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</row>
    <row r="981"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</row>
    <row r="982"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</row>
    <row r="983"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</row>
    <row r="984"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</row>
    <row r="985"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</row>
    <row r="986"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</row>
    <row r="987"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</row>
    <row r="988"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</row>
    <row r="989"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</row>
    <row r="990"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</row>
    <row r="991"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</row>
    <row r="992"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</row>
    <row r="993"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</row>
    <row r="994"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</row>
    <row r="995"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</row>
    <row r="996"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</row>
  </sheetData>
  <mergeCells count="4">
    <mergeCell ref="M1:O1"/>
    <mergeCell ref="P1:R1"/>
    <mergeCell ref="S1:U1"/>
    <mergeCell ref="V1:X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51</v>
      </c>
      <c r="B1" s="16" t="s">
        <v>24</v>
      </c>
    </row>
    <row r="2">
      <c r="A2" s="18" t="s">
        <v>75</v>
      </c>
      <c r="B2" s="16">
        <v>3.0</v>
      </c>
    </row>
    <row r="3">
      <c r="A3" s="18" t="s">
        <v>92</v>
      </c>
      <c r="B3" s="16">
        <v>3.0</v>
      </c>
    </row>
    <row r="4">
      <c r="A4" s="18" t="s">
        <v>116</v>
      </c>
      <c r="B4" s="16">
        <v>1.0</v>
      </c>
    </row>
    <row r="5">
      <c r="A5" s="6"/>
      <c r="B5" s="6"/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6</v>
      </c>
      <c r="B1" s="18" t="s">
        <v>15</v>
      </c>
      <c r="C1" s="18" t="s">
        <v>117</v>
      </c>
    </row>
    <row r="2">
      <c r="A2" s="67">
        <v>46279.0</v>
      </c>
      <c r="B2" s="16">
        <v>3.0</v>
      </c>
      <c r="C2" s="18" t="s">
        <v>118</v>
      </c>
    </row>
    <row r="3">
      <c r="A3" s="67">
        <v>46286.0</v>
      </c>
      <c r="B3" s="16">
        <v>4.0</v>
      </c>
      <c r="C3" s="18" t="s">
        <v>119</v>
      </c>
    </row>
    <row r="4">
      <c r="A4" s="67">
        <v>46293.0</v>
      </c>
      <c r="B4" s="16">
        <v>5.0</v>
      </c>
      <c r="C4" s="18" t="s">
        <v>118</v>
      </c>
    </row>
    <row r="5">
      <c r="A5" s="67">
        <v>46300.0</v>
      </c>
      <c r="B5" s="16">
        <v>6.0</v>
      </c>
      <c r="C5" s="18" t="s">
        <v>119</v>
      </c>
    </row>
    <row r="6">
      <c r="A6" s="67">
        <v>46307.0</v>
      </c>
      <c r="B6" s="16">
        <v>7.0</v>
      </c>
      <c r="C6" s="18" t="s">
        <v>118</v>
      </c>
    </row>
    <row r="7">
      <c r="A7" s="67">
        <v>46328.0</v>
      </c>
      <c r="B7" s="16">
        <v>8.0</v>
      </c>
      <c r="C7" s="18" t="s">
        <v>119</v>
      </c>
    </row>
    <row r="8">
      <c r="A8" s="67">
        <v>46335.0</v>
      </c>
      <c r="B8" s="16">
        <v>9.0</v>
      </c>
      <c r="C8" s="18" t="s">
        <v>118</v>
      </c>
    </row>
    <row r="9">
      <c r="A9" s="67">
        <v>46342.0</v>
      </c>
      <c r="B9" s="16">
        <v>10.0</v>
      </c>
      <c r="C9" s="18" t="s">
        <v>119</v>
      </c>
    </row>
    <row r="10">
      <c r="A10" s="67">
        <v>46349.0</v>
      </c>
      <c r="B10" s="16">
        <v>11.0</v>
      </c>
      <c r="C10" s="18" t="s">
        <v>118</v>
      </c>
    </row>
    <row r="11">
      <c r="A11" s="67">
        <v>46356.0</v>
      </c>
      <c r="B11" s="16">
        <v>12.0</v>
      </c>
      <c r="C11" s="18" t="s">
        <v>119</v>
      </c>
    </row>
    <row r="12">
      <c r="A12" s="67">
        <v>46363.0</v>
      </c>
      <c r="B12" s="16">
        <v>13.0</v>
      </c>
      <c r="C12" s="18" t="s">
        <v>118</v>
      </c>
    </row>
    <row r="13">
      <c r="A13" s="67">
        <v>46370.0</v>
      </c>
      <c r="B13" s="16">
        <v>14.0</v>
      </c>
      <c r="C13" s="18" t="s">
        <v>119</v>
      </c>
    </row>
    <row r="14">
      <c r="A14" s="67">
        <v>46391.0</v>
      </c>
      <c r="B14" s="16">
        <v>15.0</v>
      </c>
      <c r="C14" s="18" t="s">
        <v>118</v>
      </c>
    </row>
    <row r="15">
      <c r="A15" s="67">
        <v>46398.0</v>
      </c>
      <c r="B15" s="16">
        <v>16.0</v>
      </c>
      <c r="C15" s="18" t="s">
        <v>119</v>
      </c>
    </row>
    <row r="16">
      <c r="A16" s="67">
        <v>46405.0</v>
      </c>
      <c r="B16" s="16">
        <v>17.0</v>
      </c>
      <c r="C16" s="18" t="s">
        <v>118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6">
        <v>3.0</v>
      </c>
      <c r="C1" s="16">
        <v>4.0</v>
      </c>
      <c r="D1" s="16">
        <v>5.0</v>
      </c>
      <c r="E1" s="16">
        <v>6.0</v>
      </c>
      <c r="F1" s="16">
        <v>7.0</v>
      </c>
      <c r="G1" s="16"/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/>
      <c r="P1" s="16">
        <v>15.0</v>
      </c>
      <c r="Q1" s="16">
        <v>16.0</v>
      </c>
      <c r="R1" s="16">
        <v>17.0</v>
      </c>
    </row>
    <row r="2">
      <c r="A2" s="4" t="s">
        <v>120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>
      <c r="A3" s="16">
        <v>1.0</v>
      </c>
      <c r="B3" s="16">
        <v>8.0</v>
      </c>
      <c r="C3" s="16">
        <v>10.0</v>
      </c>
      <c r="D3" s="16">
        <v>8.0</v>
      </c>
      <c r="E3" s="16">
        <v>10.0</v>
      </c>
      <c r="F3" s="16">
        <v>8.0</v>
      </c>
      <c r="G3" s="16"/>
      <c r="H3" s="16">
        <v>8.0</v>
      </c>
      <c r="I3" s="16">
        <v>10.0</v>
      </c>
      <c r="J3" s="16">
        <v>8.0</v>
      </c>
      <c r="K3" s="16">
        <v>10.0</v>
      </c>
      <c r="L3" s="16">
        <v>8.0</v>
      </c>
      <c r="M3" s="16">
        <v>10.0</v>
      </c>
      <c r="N3" s="16">
        <v>8.0</v>
      </c>
      <c r="O3" s="16"/>
      <c r="P3" s="16">
        <v>10.0</v>
      </c>
      <c r="Q3" s="16">
        <v>8.0</v>
      </c>
      <c r="R3" s="16">
        <v>10.0</v>
      </c>
    </row>
    <row r="4">
      <c r="A4" s="16">
        <v>2.0</v>
      </c>
      <c r="B4" s="16">
        <v>10.0</v>
      </c>
      <c r="C4" s="16">
        <v>8.0</v>
      </c>
      <c r="D4" s="16">
        <v>10.0</v>
      </c>
      <c r="E4" s="16">
        <v>8.0</v>
      </c>
      <c r="F4" s="16">
        <v>10.0</v>
      </c>
      <c r="G4" s="16"/>
      <c r="H4" s="16">
        <v>10.0</v>
      </c>
      <c r="I4" s="16">
        <v>8.0</v>
      </c>
      <c r="J4" s="16">
        <v>10.0</v>
      </c>
      <c r="K4" s="16">
        <v>8.0</v>
      </c>
      <c r="L4" s="16">
        <v>10.0</v>
      </c>
      <c r="M4" s="16">
        <v>8.0</v>
      </c>
      <c r="N4" s="16">
        <v>10.0</v>
      </c>
      <c r="O4" s="16"/>
      <c r="P4" s="16">
        <v>8.0</v>
      </c>
      <c r="Q4" s="16">
        <v>10.0</v>
      </c>
      <c r="R4" s="16">
        <v>8.0</v>
      </c>
    </row>
    <row r="5">
      <c r="A5" s="110" t="s">
        <v>121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>
      <c r="A6" s="16">
        <v>1.0</v>
      </c>
      <c r="B6" s="16">
        <v>10.0</v>
      </c>
      <c r="C6" s="16">
        <v>8.0</v>
      </c>
      <c r="D6" s="16">
        <v>10.0</v>
      </c>
      <c r="E6" s="16">
        <v>8.0</v>
      </c>
      <c r="F6" s="16">
        <v>10.0</v>
      </c>
      <c r="G6" s="16"/>
      <c r="H6" s="16">
        <v>10.0</v>
      </c>
      <c r="I6" s="16">
        <v>8.0</v>
      </c>
      <c r="J6" s="16">
        <v>10.0</v>
      </c>
      <c r="K6" s="16">
        <v>8.0</v>
      </c>
      <c r="L6" s="16">
        <v>10.0</v>
      </c>
      <c r="M6" s="16">
        <v>8.0</v>
      </c>
      <c r="N6" s="16">
        <v>10.0</v>
      </c>
      <c r="O6" s="16"/>
      <c r="P6" s="16">
        <v>8.0</v>
      </c>
      <c r="Q6" s="16">
        <v>10.0</v>
      </c>
      <c r="R6" s="16">
        <v>8.0</v>
      </c>
    </row>
    <row r="7">
      <c r="A7" s="16">
        <v>2.0</v>
      </c>
      <c r="B7" s="16">
        <v>15.0</v>
      </c>
      <c r="C7" s="16">
        <v>15.0</v>
      </c>
      <c r="D7" s="16">
        <v>15.0</v>
      </c>
      <c r="E7" s="16">
        <v>15.0</v>
      </c>
      <c r="F7" s="16">
        <v>15.0</v>
      </c>
      <c r="G7" s="16"/>
      <c r="H7" s="16">
        <v>15.0</v>
      </c>
      <c r="I7" s="16">
        <v>15.0</v>
      </c>
      <c r="J7" s="16">
        <v>15.0</v>
      </c>
      <c r="K7" s="16">
        <v>15.0</v>
      </c>
      <c r="L7" s="16">
        <v>15.0</v>
      </c>
      <c r="M7" s="16">
        <v>15.0</v>
      </c>
      <c r="N7" s="16">
        <v>15.0</v>
      </c>
      <c r="O7" s="16"/>
      <c r="P7" s="16">
        <v>15.0</v>
      </c>
      <c r="Q7" s="16">
        <v>15.0</v>
      </c>
      <c r="R7" s="16">
        <v>15.0</v>
      </c>
    </row>
    <row r="8">
      <c r="A8" s="16">
        <v>3.0</v>
      </c>
      <c r="B8" s="16">
        <v>8.0</v>
      </c>
      <c r="C8" s="16">
        <v>10.0</v>
      </c>
      <c r="D8" s="16">
        <v>8.0</v>
      </c>
      <c r="E8" s="16">
        <v>10.0</v>
      </c>
      <c r="F8" s="16">
        <v>8.0</v>
      </c>
      <c r="G8" s="16"/>
      <c r="H8" s="16">
        <v>8.0</v>
      </c>
      <c r="I8" s="16">
        <v>10.0</v>
      </c>
      <c r="J8" s="16">
        <v>8.0</v>
      </c>
      <c r="K8" s="16">
        <v>10.0</v>
      </c>
      <c r="L8" s="16">
        <v>8.0</v>
      </c>
      <c r="M8" s="16">
        <v>10.0</v>
      </c>
      <c r="N8" s="16">
        <v>8.0</v>
      </c>
      <c r="O8" s="16"/>
      <c r="P8" s="16">
        <v>10.0</v>
      </c>
      <c r="Q8" s="16">
        <v>8.0</v>
      </c>
      <c r="R8" s="16">
        <v>10.0</v>
      </c>
    </row>
    <row r="9">
      <c r="A9" s="4" t="s">
        <v>122</v>
      </c>
    </row>
    <row r="10">
      <c r="A10" s="16">
        <v>1.0</v>
      </c>
      <c r="B10" s="16">
        <v>15.0</v>
      </c>
      <c r="C10" s="6"/>
      <c r="D10" s="6"/>
      <c r="E10" s="16">
        <v>17.0</v>
      </c>
      <c r="F10" s="16">
        <v>15.0</v>
      </c>
      <c r="G10" s="6"/>
      <c r="H10" s="6"/>
      <c r="I10" s="16">
        <v>15.0</v>
      </c>
      <c r="J10" s="6"/>
      <c r="K10" s="16">
        <v>15.0</v>
      </c>
      <c r="L10" s="6"/>
      <c r="M10" s="6"/>
      <c r="N10" s="16">
        <v>17.0</v>
      </c>
      <c r="O10" s="16"/>
      <c r="P10" s="16">
        <v>15.0</v>
      </c>
      <c r="Q10" s="6"/>
      <c r="R10" s="6"/>
    </row>
    <row r="11">
      <c r="A11" s="16">
        <v>2.0</v>
      </c>
      <c r="B11" s="6"/>
      <c r="C11" s="16">
        <v>17.0</v>
      </c>
      <c r="D11" s="16">
        <v>17.0</v>
      </c>
      <c r="E11" s="6"/>
      <c r="F11" s="6"/>
      <c r="G11" s="16"/>
      <c r="H11" s="16">
        <v>17.0</v>
      </c>
      <c r="I11" s="16">
        <v>17.0</v>
      </c>
      <c r="J11" s="6"/>
      <c r="K11" s="6"/>
      <c r="L11" s="16">
        <v>17.0</v>
      </c>
      <c r="M11" s="16">
        <v>17.0</v>
      </c>
      <c r="N11" s="6"/>
      <c r="O11" s="16"/>
      <c r="P11" s="16">
        <v>17.0</v>
      </c>
      <c r="Q11" s="6"/>
      <c r="R11" s="6"/>
    </row>
    <row r="12">
      <c r="A12" s="16">
        <v>3.0</v>
      </c>
      <c r="B12" s="16">
        <v>17.0</v>
      </c>
      <c r="C12" s="6"/>
      <c r="D12" s="16">
        <v>15.0</v>
      </c>
      <c r="E12" s="6"/>
      <c r="F12" s="16">
        <v>17.0</v>
      </c>
      <c r="G12" s="6"/>
      <c r="H12" s="6"/>
      <c r="I12" s="6"/>
      <c r="J12" s="16">
        <v>17.0</v>
      </c>
      <c r="K12" s="16">
        <v>17.0</v>
      </c>
      <c r="L12" s="6"/>
      <c r="M12" s="16">
        <v>15.0</v>
      </c>
      <c r="N12" s="6"/>
      <c r="O12" s="6"/>
      <c r="P12" s="6"/>
      <c r="Q12" s="16">
        <v>17.0</v>
      </c>
      <c r="R12" s="6"/>
    </row>
    <row r="13">
      <c r="A13" s="4" t="s">
        <v>123</v>
      </c>
    </row>
    <row r="14">
      <c r="A14" s="16">
        <v>1.0</v>
      </c>
      <c r="B14" s="16">
        <v>15.0</v>
      </c>
      <c r="C14" s="6"/>
      <c r="D14" s="16">
        <v>15.0</v>
      </c>
      <c r="E14" s="6"/>
      <c r="F14" s="16"/>
      <c r="G14" s="6"/>
      <c r="H14" s="110">
        <v>15.0</v>
      </c>
      <c r="I14" s="16"/>
      <c r="J14" s="6"/>
      <c r="K14" s="16">
        <v>15.0</v>
      </c>
      <c r="L14" s="6"/>
      <c r="M14" s="16">
        <v>15.0</v>
      </c>
      <c r="N14" s="6"/>
      <c r="O14" s="16"/>
      <c r="P14" s="16">
        <v>15.0</v>
      </c>
      <c r="Q14" s="6"/>
      <c r="R14" s="16">
        <v>15.0</v>
      </c>
    </row>
    <row r="15">
      <c r="A15" s="16">
        <v>2.0</v>
      </c>
      <c r="B15" s="6"/>
      <c r="C15" s="16">
        <v>15.0</v>
      </c>
      <c r="D15" s="6"/>
      <c r="E15" s="16">
        <v>15.0</v>
      </c>
      <c r="F15" s="6"/>
      <c r="G15" s="16"/>
      <c r="H15" s="16"/>
      <c r="I15" s="6"/>
      <c r="J15" s="16">
        <v>15.0</v>
      </c>
      <c r="K15" s="6"/>
      <c r="L15" s="16">
        <v>15.0</v>
      </c>
      <c r="M15" s="6"/>
      <c r="N15" s="16">
        <v>15.0</v>
      </c>
      <c r="O15" s="6"/>
      <c r="P15" s="6"/>
      <c r="Q15" s="16">
        <v>15.0</v>
      </c>
      <c r="R15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6"/>
      <c r="B1" s="6"/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/>
      <c r="I1" s="16">
        <v>8.0</v>
      </c>
      <c r="J1" s="16">
        <v>9.0</v>
      </c>
      <c r="K1" s="16">
        <v>10.0</v>
      </c>
      <c r="L1" s="16">
        <v>11.0</v>
      </c>
      <c r="M1" s="16">
        <v>12.0</v>
      </c>
      <c r="N1" s="16">
        <v>13.0</v>
      </c>
      <c r="O1" s="16">
        <v>14.0</v>
      </c>
      <c r="P1" s="16"/>
      <c r="Q1" s="16">
        <v>15.0</v>
      </c>
      <c r="R1" s="16">
        <v>16.0</v>
      </c>
      <c r="S1" s="16">
        <v>17.0</v>
      </c>
    </row>
    <row r="2">
      <c r="A2" s="18" t="s">
        <v>26</v>
      </c>
      <c r="B2" s="16">
        <v>1.0</v>
      </c>
      <c r="C2" s="6"/>
      <c r="D2" s="16">
        <v>1.0</v>
      </c>
      <c r="E2" s="6"/>
      <c r="F2" s="16">
        <v>8.0</v>
      </c>
      <c r="G2" s="6"/>
      <c r="H2" s="16"/>
      <c r="I2" s="16">
        <v>5.0</v>
      </c>
      <c r="J2" s="6"/>
      <c r="K2" s="16">
        <v>8.0</v>
      </c>
      <c r="L2" s="6"/>
      <c r="M2" s="16">
        <v>1.0</v>
      </c>
      <c r="N2" s="6"/>
      <c r="O2" s="16">
        <v>8.0</v>
      </c>
      <c r="P2" s="6"/>
      <c r="Q2" s="6"/>
      <c r="R2" s="6"/>
      <c r="S2" s="16">
        <v>2.0</v>
      </c>
    </row>
    <row r="3">
      <c r="A3" s="18" t="str">
        <f t="shared" ref="A3:A17" si="1">A2</f>
        <v>Mathématiques</v>
      </c>
      <c r="B3" s="16">
        <v>3.0</v>
      </c>
      <c r="C3" s="6"/>
      <c r="D3" s="16">
        <v>3.0</v>
      </c>
      <c r="E3" s="6"/>
      <c r="F3" s="16">
        <v>5.0</v>
      </c>
      <c r="G3" s="6"/>
      <c r="H3" s="16"/>
      <c r="I3" s="16">
        <v>8.0</v>
      </c>
      <c r="J3" s="6"/>
      <c r="K3" s="16">
        <v>5.0</v>
      </c>
      <c r="L3" s="6"/>
      <c r="M3" s="16">
        <v>3.0</v>
      </c>
      <c r="N3" s="6"/>
      <c r="O3" s="16">
        <v>1.0</v>
      </c>
      <c r="P3" s="6"/>
      <c r="Q3" s="6"/>
      <c r="R3" s="6"/>
      <c r="S3" s="16">
        <v>4.0</v>
      </c>
    </row>
    <row r="4">
      <c r="A4" s="18" t="str">
        <f t="shared" si="1"/>
        <v>Mathématiques</v>
      </c>
      <c r="B4" s="16">
        <v>5.0</v>
      </c>
      <c r="C4" s="6"/>
      <c r="D4" s="16">
        <v>8.0</v>
      </c>
      <c r="E4" s="6"/>
      <c r="F4" s="16">
        <v>3.0</v>
      </c>
      <c r="G4" s="6"/>
      <c r="H4" s="16"/>
      <c r="I4" s="16">
        <v>2.0</v>
      </c>
      <c r="J4" s="6"/>
      <c r="K4" s="16">
        <v>3.0</v>
      </c>
      <c r="L4" s="6"/>
      <c r="M4" s="16">
        <v>8.0</v>
      </c>
      <c r="N4" s="6"/>
      <c r="O4" s="16">
        <v>5.0</v>
      </c>
      <c r="P4" s="6"/>
      <c r="Q4" s="6"/>
      <c r="R4" s="6"/>
      <c r="S4" s="16">
        <v>7.0</v>
      </c>
    </row>
    <row r="5">
      <c r="A5" s="18" t="str">
        <f t="shared" si="1"/>
        <v>Mathématiques</v>
      </c>
      <c r="B5" s="16">
        <v>7.0</v>
      </c>
      <c r="C5" s="6"/>
      <c r="D5" s="16">
        <v>5.0</v>
      </c>
      <c r="E5" s="6"/>
      <c r="F5" s="16">
        <v>1.0</v>
      </c>
      <c r="G5" s="6"/>
      <c r="H5" s="16"/>
      <c r="I5" s="16">
        <v>6.0</v>
      </c>
      <c r="J5" s="6"/>
      <c r="K5" s="16">
        <v>1.0</v>
      </c>
      <c r="L5" s="6"/>
      <c r="M5" s="16">
        <v>5.0</v>
      </c>
      <c r="N5" s="6"/>
      <c r="O5" s="16">
        <v>3.0</v>
      </c>
      <c r="P5" s="6"/>
      <c r="Q5" s="6"/>
      <c r="R5" s="6"/>
      <c r="S5" s="16">
        <v>6.0</v>
      </c>
    </row>
    <row r="6">
      <c r="A6" s="18" t="str">
        <f t="shared" si="1"/>
        <v>Mathématiques</v>
      </c>
      <c r="B6" s="16">
        <v>9.0</v>
      </c>
      <c r="C6" s="6"/>
      <c r="D6" s="16">
        <v>6.0</v>
      </c>
      <c r="E6" s="6"/>
      <c r="F6" s="16">
        <v>4.0</v>
      </c>
      <c r="G6" s="6"/>
      <c r="H6" s="16"/>
      <c r="I6" s="16">
        <v>7.0</v>
      </c>
      <c r="J6" s="6"/>
      <c r="K6" s="16">
        <v>2.0</v>
      </c>
      <c r="L6" s="6"/>
      <c r="M6" s="16">
        <v>6.0</v>
      </c>
      <c r="N6" s="6"/>
      <c r="O6" s="16">
        <v>2.0</v>
      </c>
      <c r="P6" s="6"/>
      <c r="Q6" s="6"/>
      <c r="R6" s="6"/>
      <c r="S6" s="16">
        <v>3.0</v>
      </c>
    </row>
    <row r="7">
      <c r="A7" s="18" t="str">
        <f t="shared" si="1"/>
        <v>Mathématiques</v>
      </c>
      <c r="B7" s="16">
        <v>11.0</v>
      </c>
      <c r="C7" s="6"/>
      <c r="D7" s="16">
        <v>4.0</v>
      </c>
      <c r="E7" s="6"/>
      <c r="F7" s="16">
        <v>7.0</v>
      </c>
      <c r="G7" s="6"/>
      <c r="H7" s="16"/>
      <c r="I7" s="16">
        <v>1.0</v>
      </c>
      <c r="J7" s="6"/>
      <c r="K7" s="16">
        <v>7.0</v>
      </c>
      <c r="L7" s="6"/>
      <c r="M7" s="16">
        <v>4.0</v>
      </c>
      <c r="N7" s="6"/>
      <c r="O7" s="16">
        <v>7.0</v>
      </c>
      <c r="P7" s="6"/>
      <c r="Q7" s="6"/>
      <c r="R7" s="6"/>
      <c r="S7" s="16">
        <v>8.0</v>
      </c>
    </row>
    <row r="8">
      <c r="A8" s="18" t="str">
        <f t="shared" si="1"/>
        <v>Mathématiques</v>
      </c>
      <c r="B8" s="16">
        <v>13.0</v>
      </c>
      <c r="C8" s="6"/>
      <c r="D8" s="16">
        <v>7.0</v>
      </c>
      <c r="E8" s="6"/>
      <c r="F8" s="16">
        <v>2.0</v>
      </c>
      <c r="G8" s="6"/>
      <c r="H8" s="16"/>
      <c r="I8" s="16">
        <v>4.0</v>
      </c>
      <c r="J8" s="6"/>
      <c r="K8" s="16">
        <v>4.0</v>
      </c>
      <c r="L8" s="6"/>
      <c r="M8" s="16">
        <v>7.0</v>
      </c>
      <c r="N8" s="6"/>
      <c r="O8" s="16">
        <v>4.0</v>
      </c>
      <c r="P8" s="6"/>
      <c r="Q8" s="6"/>
      <c r="R8" s="6"/>
      <c r="S8" s="16">
        <v>5.0</v>
      </c>
    </row>
    <row r="9">
      <c r="A9" s="18" t="str">
        <f t="shared" si="1"/>
        <v>Mathématiques</v>
      </c>
      <c r="B9" s="16">
        <v>15.0</v>
      </c>
      <c r="C9" s="6"/>
      <c r="D9" s="16">
        <v>2.0</v>
      </c>
      <c r="E9" s="6"/>
      <c r="F9" s="16">
        <v>6.0</v>
      </c>
      <c r="G9" s="6"/>
      <c r="H9" s="16"/>
      <c r="I9" s="16">
        <v>3.0</v>
      </c>
      <c r="J9" s="6"/>
      <c r="K9" s="16">
        <v>6.0</v>
      </c>
      <c r="L9" s="6"/>
      <c r="M9" s="16">
        <v>2.0</v>
      </c>
      <c r="N9" s="6"/>
      <c r="O9" s="16">
        <v>6.0</v>
      </c>
      <c r="P9" s="6"/>
      <c r="Q9" s="6"/>
      <c r="R9" s="6"/>
      <c r="S9" s="16">
        <v>1.0</v>
      </c>
    </row>
    <row r="10">
      <c r="A10" s="18" t="str">
        <f t="shared" si="1"/>
        <v>Mathématiques</v>
      </c>
      <c r="B10" s="16">
        <v>2.0</v>
      </c>
      <c r="C10" s="6"/>
      <c r="D10" s="6"/>
      <c r="E10" s="16">
        <v>6.0</v>
      </c>
      <c r="F10" s="6"/>
      <c r="G10" s="16">
        <v>7.0</v>
      </c>
      <c r="H10" s="6"/>
      <c r="I10" s="6"/>
      <c r="J10" s="16">
        <v>4.0</v>
      </c>
      <c r="K10" s="6"/>
      <c r="L10" s="16">
        <v>2.0</v>
      </c>
      <c r="M10" s="6"/>
      <c r="N10" s="16">
        <v>6.0</v>
      </c>
      <c r="O10" s="6"/>
      <c r="P10" s="6"/>
      <c r="Q10" s="6"/>
      <c r="R10" s="16">
        <v>3.0</v>
      </c>
      <c r="S10" s="6"/>
    </row>
    <row r="11">
      <c r="A11" s="18" t="str">
        <f t="shared" si="1"/>
        <v>Mathématiques</v>
      </c>
      <c r="B11" s="16">
        <v>4.0</v>
      </c>
      <c r="C11" s="6"/>
      <c r="D11" s="6"/>
      <c r="E11" s="16">
        <v>2.0</v>
      </c>
      <c r="F11" s="6"/>
      <c r="G11" s="16">
        <v>6.0</v>
      </c>
      <c r="H11" s="6"/>
      <c r="I11" s="6"/>
      <c r="J11" s="16">
        <v>7.0</v>
      </c>
      <c r="K11" s="6"/>
      <c r="L11" s="16">
        <v>4.0</v>
      </c>
      <c r="M11" s="6"/>
      <c r="N11" s="16">
        <v>2.0</v>
      </c>
      <c r="O11" s="6"/>
      <c r="P11" s="6"/>
      <c r="Q11" s="6"/>
      <c r="R11" s="16">
        <v>1.0</v>
      </c>
      <c r="S11" s="6"/>
    </row>
    <row r="12">
      <c r="A12" s="18" t="str">
        <f t="shared" si="1"/>
        <v>Mathématiques</v>
      </c>
      <c r="B12" s="16">
        <v>6.0</v>
      </c>
      <c r="C12" s="6"/>
      <c r="D12" s="6"/>
      <c r="E12" s="16">
        <v>4.0</v>
      </c>
      <c r="F12" s="6"/>
      <c r="G12" s="16">
        <v>2.0</v>
      </c>
      <c r="H12" s="6"/>
      <c r="I12" s="6"/>
      <c r="J12" s="16">
        <v>6.0</v>
      </c>
      <c r="K12" s="6"/>
      <c r="L12" s="16">
        <v>7.0</v>
      </c>
      <c r="M12" s="6"/>
      <c r="N12" s="16">
        <v>4.0</v>
      </c>
      <c r="O12" s="6"/>
      <c r="P12" s="6"/>
      <c r="Q12" s="6"/>
      <c r="R12" s="16">
        <v>8.0</v>
      </c>
      <c r="S12" s="6"/>
    </row>
    <row r="13">
      <c r="A13" s="18" t="str">
        <f t="shared" si="1"/>
        <v>Mathématiques</v>
      </c>
      <c r="B13" s="16">
        <v>8.0</v>
      </c>
      <c r="C13" s="6"/>
      <c r="D13" s="6"/>
      <c r="E13" s="16">
        <v>7.0</v>
      </c>
      <c r="F13" s="6"/>
      <c r="G13" s="16">
        <v>4.0</v>
      </c>
      <c r="H13" s="6"/>
      <c r="I13" s="6"/>
      <c r="J13" s="16">
        <v>2.0</v>
      </c>
      <c r="K13" s="6"/>
      <c r="L13" s="16">
        <v>6.0</v>
      </c>
      <c r="M13" s="6"/>
      <c r="N13" s="16">
        <v>7.0</v>
      </c>
      <c r="O13" s="6"/>
      <c r="P13" s="6"/>
      <c r="Q13" s="6"/>
      <c r="R13" s="16">
        <v>5.0</v>
      </c>
      <c r="S13" s="6"/>
    </row>
    <row r="14">
      <c r="A14" s="18" t="str">
        <f t="shared" si="1"/>
        <v>Mathématiques</v>
      </c>
      <c r="B14" s="16">
        <v>10.0</v>
      </c>
      <c r="C14" s="6"/>
      <c r="D14" s="6"/>
      <c r="E14" s="16">
        <v>5.0</v>
      </c>
      <c r="F14" s="6"/>
      <c r="G14" s="16">
        <v>3.0</v>
      </c>
      <c r="H14" s="6"/>
      <c r="I14" s="6"/>
      <c r="J14" s="16">
        <v>1.0</v>
      </c>
      <c r="K14" s="6"/>
      <c r="L14" s="16">
        <v>8.0</v>
      </c>
      <c r="M14" s="6"/>
      <c r="N14" s="16">
        <v>3.0</v>
      </c>
      <c r="O14" s="6"/>
      <c r="P14" s="6"/>
      <c r="Q14" s="6"/>
      <c r="R14" s="16">
        <v>4.0</v>
      </c>
      <c r="S14" s="6"/>
    </row>
    <row r="15">
      <c r="A15" s="18" t="str">
        <f t="shared" si="1"/>
        <v>Mathématiques</v>
      </c>
      <c r="B15" s="16">
        <v>12.0</v>
      </c>
      <c r="C15" s="6"/>
      <c r="D15" s="6"/>
      <c r="E15" s="16">
        <v>8.0</v>
      </c>
      <c r="F15" s="6"/>
      <c r="G15" s="16">
        <v>1.0</v>
      </c>
      <c r="H15" s="6"/>
      <c r="I15" s="6"/>
      <c r="J15" s="16">
        <v>8.0</v>
      </c>
      <c r="K15" s="6"/>
      <c r="L15" s="16">
        <v>5.0</v>
      </c>
      <c r="M15" s="6"/>
      <c r="N15" s="16">
        <v>8.0</v>
      </c>
      <c r="O15" s="6"/>
      <c r="P15" s="6"/>
      <c r="Q15" s="6"/>
      <c r="R15" s="16">
        <v>7.0</v>
      </c>
      <c r="S15" s="6"/>
    </row>
    <row r="16">
      <c r="A16" s="18" t="str">
        <f t="shared" si="1"/>
        <v>Mathématiques</v>
      </c>
      <c r="B16" s="16">
        <v>14.0</v>
      </c>
      <c r="C16" s="6"/>
      <c r="D16" s="6"/>
      <c r="E16" s="16">
        <v>1.0</v>
      </c>
      <c r="F16" s="6"/>
      <c r="G16" s="16">
        <v>8.0</v>
      </c>
      <c r="H16" s="6"/>
      <c r="I16" s="6"/>
      <c r="J16" s="16">
        <v>5.0</v>
      </c>
      <c r="K16" s="6"/>
      <c r="L16" s="16">
        <v>3.0</v>
      </c>
      <c r="M16" s="6"/>
      <c r="N16" s="16">
        <v>1.0</v>
      </c>
      <c r="O16" s="6"/>
      <c r="P16" s="6"/>
      <c r="Q16" s="6"/>
      <c r="R16" s="16">
        <v>6.0</v>
      </c>
      <c r="S16" s="6"/>
    </row>
    <row r="17">
      <c r="A17" s="18" t="str">
        <f t="shared" si="1"/>
        <v>Mathématiques</v>
      </c>
      <c r="B17" s="16">
        <v>16.0</v>
      </c>
      <c r="C17" s="6"/>
      <c r="D17" s="6"/>
      <c r="E17" s="16">
        <v>3.0</v>
      </c>
      <c r="F17" s="6"/>
      <c r="G17" s="16">
        <v>5.0</v>
      </c>
      <c r="H17" s="6"/>
      <c r="I17" s="6"/>
      <c r="J17" s="16">
        <v>3.0</v>
      </c>
      <c r="K17" s="6"/>
      <c r="L17" s="16">
        <v>1.0</v>
      </c>
      <c r="M17" s="6"/>
      <c r="N17" s="16">
        <v>5.0</v>
      </c>
      <c r="O17" s="6"/>
      <c r="P17" s="6"/>
      <c r="Q17" s="6"/>
      <c r="R17" s="16">
        <v>2.0</v>
      </c>
      <c r="S17" s="6"/>
    </row>
    <row r="18">
      <c r="A18" s="18" t="s">
        <v>124</v>
      </c>
      <c r="B18" s="16">
        <v>1.0</v>
      </c>
      <c r="C18" s="6"/>
      <c r="D18" s="16">
        <v>8.0</v>
      </c>
      <c r="E18" s="6"/>
      <c r="F18" s="16">
        <v>2.0</v>
      </c>
      <c r="G18" s="6"/>
      <c r="H18" s="16"/>
      <c r="I18" s="16">
        <v>4.0</v>
      </c>
      <c r="J18" s="6"/>
      <c r="K18" s="16">
        <v>2.0</v>
      </c>
      <c r="L18" s="6"/>
      <c r="M18" s="16">
        <v>8.0</v>
      </c>
      <c r="N18" s="6"/>
      <c r="O18" s="16">
        <v>2.0</v>
      </c>
      <c r="P18" s="6"/>
      <c r="Q18" s="6"/>
      <c r="R18" s="6"/>
      <c r="S18" s="16">
        <v>5.0</v>
      </c>
    </row>
    <row r="19">
      <c r="A19" s="18" t="str">
        <f t="shared" ref="A19:A33" si="2">A18</f>
        <v>Anglais</v>
      </c>
      <c r="B19" s="16">
        <v>3.0</v>
      </c>
      <c r="C19" s="6"/>
      <c r="D19" s="16">
        <v>7.0</v>
      </c>
      <c r="E19" s="6"/>
      <c r="F19" s="16">
        <v>3.0</v>
      </c>
      <c r="G19" s="6"/>
      <c r="H19" s="16"/>
      <c r="I19" s="16">
        <v>2.0</v>
      </c>
      <c r="J19" s="6"/>
      <c r="K19" s="16">
        <v>3.0</v>
      </c>
      <c r="L19" s="6"/>
      <c r="M19" s="16">
        <v>7.0</v>
      </c>
      <c r="N19" s="6"/>
      <c r="O19" s="16">
        <v>8.0</v>
      </c>
      <c r="P19" s="6"/>
      <c r="Q19" s="6"/>
      <c r="R19" s="6"/>
      <c r="S19" s="16">
        <v>6.0</v>
      </c>
    </row>
    <row r="20">
      <c r="A20" s="18" t="str">
        <f t="shared" si="2"/>
        <v>Anglais</v>
      </c>
      <c r="B20" s="16">
        <v>5.0</v>
      </c>
      <c r="C20" s="6"/>
      <c r="D20" s="16">
        <v>2.0</v>
      </c>
      <c r="E20" s="6"/>
      <c r="F20" s="16">
        <v>7.0</v>
      </c>
      <c r="G20" s="6"/>
      <c r="H20" s="16"/>
      <c r="I20" s="16">
        <v>8.0</v>
      </c>
      <c r="J20" s="6"/>
      <c r="K20" s="16">
        <v>7.0</v>
      </c>
      <c r="L20" s="6"/>
      <c r="M20" s="16">
        <v>2.0</v>
      </c>
      <c r="N20" s="6"/>
      <c r="O20" s="16">
        <v>3.0</v>
      </c>
      <c r="P20" s="6"/>
      <c r="Q20" s="6"/>
      <c r="R20" s="6"/>
      <c r="S20" s="16">
        <v>4.0</v>
      </c>
    </row>
    <row r="21">
      <c r="A21" s="18" t="str">
        <f t="shared" si="2"/>
        <v>Anglais</v>
      </c>
      <c r="B21" s="16">
        <v>7.0</v>
      </c>
      <c r="C21" s="6"/>
      <c r="D21" s="16">
        <v>3.0</v>
      </c>
      <c r="E21" s="6"/>
      <c r="F21" s="16">
        <v>8.0</v>
      </c>
      <c r="G21" s="6"/>
      <c r="H21" s="16"/>
      <c r="I21" s="16">
        <v>1.0</v>
      </c>
      <c r="J21" s="6"/>
      <c r="K21" s="16">
        <v>8.0</v>
      </c>
      <c r="L21" s="6"/>
      <c r="M21" s="16">
        <v>3.0</v>
      </c>
      <c r="N21" s="6"/>
      <c r="O21" s="16">
        <v>7.0</v>
      </c>
      <c r="P21" s="6"/>
      <c r="Q21" s="6"/>
      <c r="R21" s="6"/>
      <c r="S21" s="16">
        <v>1.0</v>
      </c>
    </row>
    <row r="22">
      <c r="A22" s="18" t="str">
        <f t="shared" si="2"/>
        <v>Anglais</v>
      </c>
      <c r="B22" s="16">
        <v>9.0</v>
      </c>
      <c r="C22" s="6"/>
      <c r="D22" s="16">
        <v>1.0</v>
      </c>
      <c r="E22" s="6"/>
      <c r="F22" s="16">
        <v>6.0</v>
      </c>
      <c r="G22" s="6"/>
      <c r="H22" s="16"/>
      <c r="I22" s="16">
        <v>3.0</v>
      </c>
      <c r="J22" s="6"/>
      <c r="K22" s="16">
        <v>5.0</v>
      </c>
      <c r="L22" s="6"/>
      <c r="M22" s="16">
        <v>1.0</v>
      </c>
      <c r="N22" s="6"/>
      <c r="O22" s="16">
        <v>5.0</v>
      </c>
      <c r="P22" s="6"/>
      <c r="Q22" s="6"/>
      <c r="R22" s="6"/>
      <c r="S22" s="16">
        <v>7.0</v>
      </c>
    </row>
    <row r="23">
      <c r="A23" s="18" t="str">
        <f t="shared" si="2"/>
        <v>Anglais</v>
      </c>
      <c r="B23" s="16">
        <v>11.0</v>
      </c>
      <c r="C23" s="6"/>
      <c r="D23" s="16">
        <v>6.0</v>
      </c>
      <c r="E23" s="6"/>
      <c r="F23" s="16">
        <v>4.0</v>
      </c>
      <c r="G23" s="6"/>
      <c r="H23" s="16"/>
      <c r="I23" s="16">
        <v>5.0</v>
      </c>
      <c r="J23" s="6"/>
      <c r="K23" s="16">
        <v>4.0</v>
      </c>
      <c r="L23" s="6"/>
      <c r="M23" s="16">
        <v>6.0</v>
      </c>
      <c r="N23" s="6"/>
      <c r="O23" s="16">
        <v>4.0</v>
      </c>
      <c r="P23" s="6"/>
      <c r="Q23" s="6"/>
      <c r="R23" s="6"/>
      <c r="S23" s="16">
        <v>2.0</v>
      </c>
    </row>
    <row r="24">
      <c r="A24" s="18" t="str">
        <f t="shared" si="2"/>
        <v>Anglais</v>
      </c>
      <c r="B24" s="16">
        <v>13.0</v>
      </c>
      <c r="C24" s="6"/>
      <c r="D24" s="16">
        <v>4.0</v>
      </c>
      <c r="E24" s="6"/>
      <c r="F24" s="16">
        <v>5.0</v>
      </c>
      <c r="G24" s="6"/>
      <c r="H24" s="16"/>
      <c r="I24" s="16">
        <v>6.0</v>
      </c>
      <c r="J24" s="6"/>
      <c r="K24" s="16">
        <v>6.0</v>
      </c>
      <c r="L24" s="6"/>
      <c r="M24" s="16">
        <v>4.0</v>
      </c>
      <c r="N24" s="6"/>
      <c r="O24" s="16">
        <v>6.0</v>
      </c>
      <c r="P24" s="6"/>
      <c r="Q24" s="6"/>
      <c r="R24" s="6"/>
      <c r="S24" s="16">
        <v>3.0</v>
      </c>
    </row>
    <row r="25">
      <c r="A25" s="18" t="str">
        <f t="shared" si="2"/>
        <v>Anglais</v>
      </c>
      <c r="B25" s="16">
        <v>15.0</v>
      </c>
      <c r="C25" s="6"/>
      <c r="D25" s="16">
        <v>5.0</v>
      </c>
      <c r="E25" s="6"/>
      <c r="F25" s="16">
        <v>1.0</v>
      </c>
      <c r="G25" s="6"/>
      <c r="H25" s="16"/>
      <c r="I25" s="16">
        <v>7.0</v>
      </c>
      <c r="J25" s="6"/>
      <c r="K25" s="16">
        <v>1.0</v>
      </c>
      <c r="L25" s="6"/>
      <c r="M25" s="16">
        <v>5.0</v>
      </c>
      <c r="N25" s="6"/>
      <c r="O25" s="16">
        <v>1.0</v>
      </c>
      <c r="P25" s="6"/>
      <c r="Q25" s="6"/>
      <c r="R25" s="6"/>
      <c r="S25" s="16">
        <v>8.0</v>
      </c>
    </row>
    <row r="26">
      <c r="A26" s="18" t="str">
        <f t="shared" si="2"/>
        <v>Anglais</v>
      </c>
      <c r="B26" s="16">
        <v>2.0</v>
      </c>
      <c r="C26" s="6"/>
      <c r="D26" s="6"/>
      <c r="E26" s="16">
        <v>1.0</v>
      </c>
      <c r="F26" s="6"/>
      <c r="G26" s="16">
        <v>4.0</v>
      </c>
      <c r="H26" s="6"/>
      <c r="I26" s="6"/>
      <c r="J26" s="16">
        <v>6.0</v>
      </c>
      <c r="K26" s="6"/>
      <c r="L26" s="16">
        <v>5.0</v>
      </c>
      <c r="M26" s="6"/>
      <c r="N26" s="16">
        <v>1.0</v>
      </c>
      <c r="O26" s="6"/>
      <c r="P26" s="6"/>
      <c r="Q26" s="6"/>
      <c r="R26" s="16">
        <v>7.0</v>
      </c>
      <c r="S26" s="6"/>
    </row>
    <row r="27">
      <c r="A27" s="18" t="str">
        <f t="shared" si="2"/>
        <v>Anglais</v>
      </c>
      <c r="B27" s="16">
        <v>4.0</v>
      </c>
      <c r="C27" s="6"/>
      <c r="D27" s="6"/>
      <c r="E27" s="16">
        <v>5.0</v>
      </c>
      <c r="F27" s="6"/>
      <c r="G27" s="16">
        <v>1.0</v>
      </c>
      <c r="H27" s="6"/>
      <c r="I27" s="6"/>
      <c r="J27" s="16">
        <v>4.0</v>
      </c>
      <c r="K27" s="6"/>
      <c r="L27" s="16">
        <v>6.0</v>
      </c>
      <c r="M27" s="6"/>
      <c r="N27" s="16">
        <v>5.0</v>
      </c>
      <c r="O27" s="6"/>
      <c r="P27" s="6"/>
      <c r="Q27" s="6"/>
      <c r="R27" s="16">
        <v>8.0</v>
      </c>
      <c r="S27" s="6"/>
    </row>
    <row r="28">
      <c r="A28" s="18" t="str">
        <f t="shared" si="2"/>
        <v>Anglais</v>
      </c>
      <c r="B28" s="16">
        <v>6.0</v>
      </c>
      <c r="C28" s="6"/>
      <c r="D28" s="6"/>
      <c r="E28" s="16">
        <v>6.0</v>
      </c>
      <c r="F28" s="6"/>
      <c r="G28" s="16">
        <v>5.0</v>
      </c>
      <c r="H28" s="6"/>
      <c r="I28" s="6"/>
      <c r="J28" s="16">
        <v>1.0</v>
      </c>
      <c r="K28" s="6"/>
      <c r="L28" s="16">
        <v>4.0</v>
      </c>
      <c r="M28" s="6"/>
      <c r="N28" s="16">
        <v>6.0</v>
      </c>
      <c r="O28" s="6"/>
      <c r="P28" s="6"/>
      <c r="Q28" s="6"/>
      <c r="R28" s="16">
        <v>2.0</v>
      </c>
      <c r="S28" s="6"/>
    </row>
    <row r="29">
      <c r="A29" s="18" t="str">
        <f t="shared" si="2"/>
        <v>Anglais</v>
      </c>
      <c r="B29" s="16">
        <v>8.0</v>
      </c>
      <c r="C29" s="6"/>
      <c r="D29" s="6"/>
      <c r="E29" s="16">
        <v>4.0</v>
      </c>
      <c r="F29" s="6"/>
      <c r="G29" s="16">
        <v>6.0</v>
      </c>
      <c r="H29" s="6"/>
      <c r="I29" s="6"/>
      <c r="J29" s="16">
        <v>5.0</v>
      </c>
      <c r="K29" s="6"/>
      <c r="L29" s="16">
        <v>1.0</v>
      </c>
      <c r="M29" s="6"/>
      <c r="N29" s="16">
        <v>4.0</v>
      </c>
      <c r="O29" s="6"/>
      <c r="P29" s="6"/>
      <c r="Q29" s="6"/>
      <c r="R29" s="16">
        <v>3.0</v>
      </c>
      <c r="S29" s="6"/>
    </row>
    <row r="30">
      <c r="A30" s="18" t="str">
        <f t="shared" si="2"/>
        <v>Anglais</v>
      </c>
      <c r="B30" s="16">
        <v>10.0</v>
      </c>
      <c r="C30" s="6"/>
      <c r="D30" s="6"/>
      <c r="E30" s="16">
        <v>3.0</v>
      </c>
      <c r="F30" s="6"/>
      <c r="G30" s="16">
        <v>7.0</v>
      </c>
      <c r="H30" s="6"/>
      <c r="I30" s="6"/>
      <c r="J30" s="16">
        <v>8.0</v>
      </c>
      <c r="K30" s="6"/>
      <c r="L30" s="16">
        <v>2.0</v>
      </c>
      <c r="M30" s="6"/>
      <c r="N30" s="16">
        <v>7.0</v>
      </c>
      <c r="O30" s="6"/>
      <c r="P30" s="6"/>
      <c r="Q30" s="6"/>
      <c r="R30" s="16">
        <v>6.0</v>
      </c>
      <c r="S30" s="6"/>
    </row>
    <row r="31">
      <c r="A31" s="18" t="str">
        <f t="shared" si="2"/>
        <v>Anglais</v>
      </c>
      <c r="B31" s="16">
        <v>12.0</v>
      </c>
      <c r="C31" s="6"/>
      <c r="D31" s="6"/>
      <c r="E31" s="16">
        <v>2.0</v>
      </c>
      <c r="F31" s="6"/>
      <c r="G31" s="16">
        <v>8.0</v>
      </c>
      <c r="H31" s="6"/>
      <c r="I31" s="6"/>
      <c r="J31" s="16">
        <v>2.0</v>
      </c>
      <c r="K31" s="6"/>
      <c r="L31" s="16">
        <v>3.0</v>
      </c>
      <c r="M31" s="6"/>
      <c r="N31" s="16">
        <v>2.0</v>
      </c>
      <c r="O31" s="6"/>
      <c r="P31" s="6"/>
      <c r="Q31" s="6"/>
      <c r="R31" s="16">
        <v>4.0</v>
      </c>
      <c r="S31" s="6"/>
    </row>
    <row r="32">
      <c r="A32" s="18" t="str">
        <f t="shared" si="2"/>
        <v>Anglais</v>
      </c>
      <c r="B32" s="16">
        <v>14.0</v>
      </c>
      <c r="C32" s="6"/>
      <c r="D32" s="6"/>
      <c r="E32" s="16">
        <v>8.0</v>
      </c>
      <c r="F32" s="6"/>
      <c r="G32" s="16">
        <v>3.0</v>
      </c>
      <c r="H32" s="6"/>
      <c r="I32" s="6"/>
      <c r="J32" s="16">
        <v>3.0</v>
      </c>
      <c r="K32" s="6"/>
      <c r="L32" s="16">
        <v>7.0</v>
      </c>
      <c r="M32" s="6"/>
      <c r="N32" s="16">
        <v>8.0</v>
      </c>
      <c r="O32" s="6"/>
      <c r="P32" s="6"/>
      <c r="Q32" s="6"/>
      <c r="R32" s="16">
        <v>1.0</v>
      </c>
      <c r="S32" s="6"/>
    </row>
    <row r="33">
      <c r="A33" s="18" t="str">
        <f t="shared" si="2"/>
        <v>Anglais</v>
      </c>
      <c r="B33" s="16">
        <v>16.0</v>
      </c>
      <c r="C33" s="6"/>
      <c r="D33" s="6"/>
      <c r="E33" s="16">
        <v>7.0</v>
      </c>
      <c r="F33" s="6"/>
      <c r="G33" s="16">
        <v>2.0</v>
      </c>
      <c r="H33" s="6"/>
      <c r="I33" s="6"/>
      <c r="J33" s="16">
        <v>7.0</v>
      </c>
      <c r="K33" s="6"/>
      <c r="L33" s="16">
        <v>8.0</v>
      </c>
      <c r="M33" s="6"/>
      <c r="N33" s="16">
        <v>3.0</v>
      </c>
      <c r="O33" s="6"/>
      <c r="P33" s="6"/>
      <c r="Q33" s="6"/>
      <c r="R33" s="16">
        <v>5.0</v>
      </c>
      <c r="S33" s="6"/>
    </row>
    <row r="34">
      <c r="A34" s="18" t="s">
        <v>115</v>
      </c>
      <c r="B34" s="16">
        <v>1.0</v>
      </c>
      <c r="C34" s="6"/>
      <c r="D34" s="6"/>
      <c r="E34" s="16">
        <v>3.0</v>
      </c>
      <c r="F34" s="6"/>
      <c r="G34" s="16">
        <v>8.0</v>
      </c>
      <c r="H34" s="6"/>
      <c r="I34" s="6"/>
      <c r="J34" s="16">
        <v>4.0</v>
      </c>
      <c r="K34" s="6"/>
      <c r="L34" s="16">
        <v>1.0</v>
      </c>
      <c r="M34" s="6"/>
      <c r="N34" s="16">
        <v>5.0</v>
      </c>
      <c r="O34" s="6"/>
      <c r="P34" s="6"/>
      <c r="Q34" s="6"/>
      <c r="R34" s="16">
        <v>8.0</v>
      </c>
      <c r="S34" s="6"/>
    </row>
    <row r="35">
      <c r="A35" s="18" t="str">
        <f t="shared" ref="A35:A49" si="3">A34</f>
        <v>Physique</v>
      </c>
      <c r="B35" s="16">
        <v>3.0</v>
      </c>
      <c r="C35" s="6"/>
      <c r="D35" s="6"/>
      <c r="E35" s="16">
        <v>4.0</v>
      </c>
      <c r="F35" s="6"/>
      <c r="G35" s="16">
        <v>7.0</v>
      </c>
      <c r="H35" s="6"/>
      <c r="I35" s="6"/>
      <c r="J35" s="16">
        <v>1.0</v>
      </c>
      <c r="K35" s="6"/>
      <c r="L35" s="16">
        <v>5.0</v>
      </c>
      <c r="M35" s="6"/>
      <c r="N35" s="16">
        <v>3.0</v>
      </c>
      <c r="O35" s="6"/>
      <c r="P35" s="6"/>
      <c r="Q35" s="6"/>
      <c r="R35" s="16">
        <v>5.0</v>
      </c>
      <c r="S35" s="6"/>
    </row>
    <row r="36">
      <c r="A36" s="18" t="str">
        <f t="shared" si="3"/>
        <v>Physique</v>
      </c>
      <c r="B36" s="16">
        <v>5.0</v>
      </c>
      <c r="C36" s="6"/>
      <c r="D36" s="6"/>
      <c r="E36" s="16">
        <v>2.0</v>
      </c>
      <c r="F36" s="6"/>
      <c r="G36" s="16">
        <v>4.0</v>
      </c>
      <c r="H36" s="6"/>
      <c r="I36" s="6"/>
      <c r="J36" s="16">
        <v>5.0</v>
      </c>
      <c r="K36" s="6"/>
      <c r="L36" s="16">
        <v>7.0</v>
      </c>
      <c r="M36" s="6"/>
      <c r="N36" s="16">
        <v>1.0</v>
      </c>
      <c r="O36" s="6"/>
      <c r="P36" s="6"/>
      <c r="Q36" s="6"/>
      <c r="R36" s="16">
        <v>3.0</v>
      </c>
      <c r="S36" s="6"/>
    </row>
    <row r="37">
      <c r="A37" s="18" t="str">
        <f t="shared" si="3"/>
        <v>Physique</v>
      </c>
      <c r="B37" s="16">
        <v>7.0</v>
      </c>
      <c r="C37" s="6"/>
      <c r="D37" s="6"/>
      <c r="E37" s="16">
        <v>8.0</v>
      </c>
      <c r="F37" s="6"/>
      <c r="G37" s="16">
        <v>2.0</v>
      </c>
      <c r="H37" s="6"/>
      <c r="I37" s="6"/>
      <c r="J37" s="16">
        <v>6.0</v>
      </c>
      <c r="K37" s="6"/>
      <c r="L37" s="16">
        <v>4.0</v>
      </c>
      <c r="M37" s="6"/>
      <c r="N37" s="16">
        <v>8.0</v>
      </c>
      <c r="O37" s="6"/>
      <c r="P37" s="6"/>
      <c r="Q37" s="6"/>
      <c r="R37" s="16">
        <v>1.0</v>
      </c>
      <c r="S37" s="6"/>
    </row>
    <row r="38">
      <c r="A38" s="18" t="str">
        <f t="shared" si="3"/>
        <v>Physique</v>
      </c>
      <c r="B38" s="16">
        <v>9.0</v>
      </c>
      <c r="C38" s="6"/>
      <c r="D38" s="6"/>
      <c r="E38" s="16">
        <v>7.0</v>
      </c>
      <c r="F38" s="6"/>
      <c r="G38" s="16">
        <v>1.0</v>
      </c>
      <c r="H38" s="6"/>
      <c r="I38" s="6"/>
      <c r="J38" s="16">
        <v>7.0</v>
      </c>
      <c r="K38" s="6"/>
      <c r="L38" s="16">
        <v>8.0</v>
      </c>
      <c r="M38" s="6"/>
      <c r="N38" s="16">
        <v>6.0</v>
      </c>
      <c r="O38" s="6"/>
      <c r="P38" s="6"/>
      <c r="Q38" s="6"/>
      <c r="R38" s="16">
        <v>4.0</v>
      </c>
      <c r="S38" s="6"/>
    </row>
    <row r="39">
      <c r="A39" s="18" t="str">
        <f t="shared" si="3"/>
        <v>Physique</v>
      </c>
      <c r="B39" s="16">
        <v>11.0</v>
      </c>
      <c r="C39" s="6"/>
      <c r="D39" s="6"/>
      <c r="E39" s="16">
        <v>6.0</v>
      </c>
      <c r="F39" s="6"/>
      <c r="G39" s="16">
        <v>5.0</v>
      </c>
      <c r="H39" s="6"/>
      <c r="I39" s="6"/>
      <c r="J39" s="16">
        <v>2.0</v>
      </c>
      <c r="K39" s="6"/>
      <c r="L39" s="16">
        <v>3.0</v>
      </c>
      <c r="M39" s="6"/>
      <c r="N39" s="16">
        <v>2.0</v>
      </c>
      <c r="O39" s="6"/>
      <c r="P39" s="6"/>
      <c r="Q39" s="6"/>
      <c r="R39" s="16">
        <v>6.0</v>
      </c>
      <c r="S39" s="6"/>
    </row>
    <row r="40">
      <c r="A40" s="18" t="str">
        <f t="shared" si="3"/>
        <v>Physique</v>
      </c>
      <c r="B40" s="16">
        <v>13.0</v>
      </c>
      <c r="C40" s="6"/>
      <c r="D40" s="6"/>
      <c r="E40" s="16">
        <v>5.0</v>
      </c>
      <c r="F40" s="6"/>
      <c r="G40" s="16">
        <v>6.0</v>
      </c>
      <c r="H40" s="6"/>
      <c r="I40" s="6"/>
      <c r="J40" s="16">
        <v>3.0</v>
      </c>
      <c r="K40" s="6"/>
      <c r="L40" s="16">
        <v>2.0</v>
      </c>
      <c r="M40" s="6"/>
      <c r="N40" s="16">
        <v>4.0</v>
      </c>
      <c r="O40" s="6"/>
      <c r="P40" s="6"/>
      <c r="Q40" s="6"/>
      <c r="R40" s="16">
        <v>7.0</v>
      </c>
      <c r="S40" s="6"/>
    </row>
    <row r="41">
      <c r="A41" s="18" t="str">
        <f t="shared" si="3"/>
        <v>Physique</v>
      </c>
      <c r="B41" s="16">
        <v>15.0</v>
      </c>
      <c r="C41" s="6"/>
      <c r="D41" s="6"/>
      <c r="E41" s="16">
        <v>1.0</v>
      </c>
      <c r="F41" s="6"/>
      <c r="G41" s="16">
        <v>3.0</v>
      </c>
      <c r="H41" s="6"/>
      <c r="I41" s="6"/>
      <c r="J41" s="16">
        <v>8.0</v>
      </c>
      <c r="K41" s="6"/>
      <c r="L41" s="16">
        <v>6.0</v>
      </c>
      <c r="M41" s="6"/>
      <c r="N41" s="16">
        <v>7.0</v>
      </c>
      <c r="O41" s="6"/>
      <c r="P41" s="6"/>
      <c r="Q41" s="6"/>
      <c r="R41" s="16">
        <v>2.0</v>
      </c>
      <c r="S41" s="6"/>
    </row>
    <row r="42">
      <c r="A42" s="18" t="str">
        <f t="shared" si="3"/>
        <v>Physique</v>
      </c>
      <c r="B42" s="16">
        <v>2.0</v>
      </c>
      <c r="C42" s="6"/>
      <c r="D42" s="16">
        <v>4.0</v>
      </c>
      <c r="E42" s="6"/>
      <c r="F42" s="16">
        <v>7.0</v>
      </c>
      <c r="G42" s="6"/>
      <c r="H42" s="16"/>
      <c r="I42" s="16">
        <v>1.0</v>
      </c>
      <c r="J42" s="6"/>
      <c r="K42" s="16">
        <v>6.0</v>
      </c>
      <c r="L42" s="6"/>
      <c r="M42" s="16">
        <v>3.0</v>
      </c>
      <c r="N42" s="6"/>
      <c r="O42" s="16">
        <v>8.0</v>
      </c>
      <c r="P42" s="6"/>
      <c r="Q42" s="6"/>
      <c r="R42" s="6"/>
      <c r="S42" s="16">
        <v>5.0</v>
      </c>
    </row>
    <row r="43">
      <c r="A43" s="18" t="str">
        <f t="shared" si="3"/>
        <v>Physique</v>
      </c>
      <c r="B43" s="16">
        <v>4.0</v>
      </c>
      <c r="C43" s="6"/>
      <c r="D43" s="16">
        <v>3.0</v>
      </c>
      <c r="E43" s="6"/>
      <c r="F43" s="16">
        <v>2.0</v>
      </c>
      <c r="G43" s="6"/>
      <c r="H43" s="16"/>
      <c r="I43" s="16">
        <v>4.0</v>
      </c>
      <c r="J43" s="6"/>
      <c r="K43" s="16">
        <v>7.0</v>
      </c>
      <c r="L43" s="6"/>
      <c r="M43" s="16">
        <v>1.0</v>
      </c>
      <c r="N43" s="6"/>
      <c r="O43" s="16">
        <v>3.0</v>
      </c>
      <c r="P43" s="6"/>
      <c r="Q43" s="6"/>
      <c r="R43" s="6"/>
      <c r="S43" s="16">
        <v>6.0</v>
      </c>
    </row>
    <row r="44">
      <c r="A44" s="18" t="str">
        <f t="shared" si="3"/>
        <v>Physique</v>
      </c>
      <c r="B44" s="16">
        <v>6.0</v>
      </c>
      <c r="C44" s="6"/>
      <c r="D44" s="16">
        <v>8.0</v>
      </c>
      <c r="E44" s="6"/>
      <c r="F44" s="16">
        <v>3.0</v>
      </c>
      <c r="G44" s="6"/>
      <c r="H44" s="16"/>
      <c r="I44" s="16">
        <v>5.0</v>
      </c>
      <c r="J44" s="6"/>
      <c r="K44" s="16">
        <v>4.0</v>
      </c>
      <c r="L44" s="6"/>
      <c r="M44" s="16">
        <v>2.0</v>
      </c>
      <c r="N44" s="6"/>
      <c r="O44" s="16">
        <v>6.0</v>
      </c>
      <c r="P44" s="6"/>
      <c r="Q44" s="6"/>
      <c r="R44" s="6"/>
      <c r="S44" s="16">
        <v>3.0</v>
      </c>
    </row>
    <row r="45">
      <c r="A45" s="18" t="str">
        <f t="shared" si="3"/>
        <v>Physique</v>
      </c>
      <c r="B45" s="16">
        <v>8.0</v>
      </c>
      <c r="C45" s="6"/>
      <c r="D45" s="16">
        <v>7.0</v>
      </c>
      <c r="E45" s="6"/>
      <c r="F45" s="16">
        <v>4.0</v>
      </c>
      <c r="G45" s="6"/>
      <c r="H45" s="16"/>
      <c r="I45" s="16">
        <v>8.0</v>
      </c>
      <c r="J45" s="6"/>
      <c r="K45" s="16">
        <v>1.0</v>
      </c>
      <c r="L45" s="6"/>
      <c r="M45" s="16">
        <v>8.0</v>
      </c>
      <c r="N45" s="6"/>
      <c r="O45" s="16">
        <v>7.0</v>
      </c>
      <c r="P45" s="6"/>
      <c r="Q45" s="6"/>
      <c r="R45" s="6"/>
      <c r="S45" s="16">
        <v>2.0</v>
      </c>
    </row>
    <row r="46">
      <c r="A46" s="18" t="str">
        <f t="shared" si="3"/>
        <v>Physique</v>
      </c>
      <c r="B46" s="16">
        <v>10.0</v>
      </c>
      <c r="C46" s="6"/>
      <c r="D46" s="16">
        <v>6.0</v>
      </c>
      <c r="E46" s="6"/>
      <c r="F46" s="16">
        <v>1.0</v>
      </c>
      <c r="G46" s="6"/>
      <c r="H46" s="16"/>
      <c r="I46" s="16">
        <v>3.0</v>
      </c>
      <c r="J46" s="6"/>
      <c r="K46" s="16">
        <v>5.0</v>
      </c>
      <c r="L46" s="6"/>
      <c r="M46" s="16">
        <v>6.0</v>
      </c>
      <c r="N46" s="6"/>
      <c r="O46" s="16">
        <v>1.0</v>
      </c>
      <c r="P46" s="6"/>
      <c r="Q46" s="6"/>
      <c r="R46" s="6"/>
      <c r="S46" s="16">
        <v>8.0</v>
      </c>
    </row>
    <row r="47">
      <c r="A47" s="18" t="str">
        <f t="shared" si="3"/>
        <v>Physique</v>
      </c>
      <c r="B47" s="16">
        <v>12.0</v>
      </c>
      <c r="C47" s="6"/>
      <c r="D47" s="16">
        <v>2.0</v>
      </c>
      <c r="E47" s="6"/>
      <c r="F47" s="16">
        <v>5.0</v>
      </c>
      <c r="G47" s="6"/>
      <c r="H47" s="16"/>
      <c r="I47" s="16">
        <v>6.0</v>
      </c>
      <c r="J47" s="6"/>
      <c r="K47" s="16">
        <v>8.0</v>
      </c>
      <c r="L47" s="6"/>
      <c r="M47" s="16">
        <v>4.0</v>
      </c>
      <c r="N47" s="6"/>
      <c r="O47" s="16">
        <v>5.0</v>
      </c>
      <c r="P47" s="6"/>
      <c r="Q47" s="6"/>
      <c r="R47" s="6"/>
      <c r="S47" s="16">
        <v>7.0</v>
      </c>
    </row>
    <row r="48">
      <c r="A48" s="18" t="str">
        <f t="shared" si="3"/>
        <v>Physique</v>
      </c>
      <c r="B48" s="16">
        <v>14.0</v>
      </c>
      <c r="C48" s="6"/>
      <c r="D48" s="16">
        <v>5.0</v>
      </c>
      <c r="E48" s="6"/>
      <c r="F48" s="16">
        <v>6.0</v>
      </c>
      <c r="G48" s="6"/>
      <c r="H48" s="16"/>
      <c r="I48" s="16">
        <v>2.0</v>
      </c>
      <c r="J48" s="6"/>
      <c r="K48" s="16">
        <v>3.0</v>
      </c>
      <c r="L48" s="6"/>
      <c r="M48" s="16">
        <v>7.0</v>
      </c>
      <c r="N48" s="6"/>
      <c r="O48" s="16">
        <v>4.0</v>
      </c>
      <c r="P48" s="6"/>
      <c r="Q48" s="6"/>
      <c r="R48" s="6"/>
      <c r="S48" s="16">
        <v>1.0</v>
      </c>
    </row>
    <row r="49">
      <c r="A49" s="18" t="str">
        <f t="shared" si="3"/>
        <v>Physique</v>
      </c>
      <c r="B49" s="16">
        <v>16.0</v>
      </c>
      <c r="C49" s="6"/>
      <c r="D49" s="16">
        <v>1.0</v>
      </c>
      <c r="E49" s="6"/>
      <c r="F49" s="16">
        <v>8.0</v>
      </c>
      <c r="G49" s="6"/>
      <c r="H49" s="16"/>
      <c r="I49" s="16">
        <v>7.0</v>
      </c>
      <c r="J49" s="6"/>
      <c r="K49" s="16">
        <v>2.0</v>
      </c>
      <c r="L49" s="6"/>
      <c r="M49" s="16">
        <v>5.0</v>
      </c>
      <c r="N49" s="6"/>
      <c r="O49" s="16">
        <v>2.0</v>
      </c>
      <c r="P49" s="6"/>
      <c r="Q49" s="6"/>
      <c r="R49" s="6"/>
      <c r="S49" s="16">
        <v>4.0</v>
      </c>
    </row>
    <row r="50">
      <c r="A50" s="18" t="s">
        <v>41</v>
      </c>
      <c r="B50" s="16">
        <v>1.0</v>
      </c>
      <c r="C50" s="6"/>
      <c r="D50" s="6"/>
      <c r="E50" s="16">
        <v>3.0</v>
      </c>
      <c r="F50" s="6"/>
      <c r="G50" s="16">
        <v>5.0</v>
      </c>
      <c r="H50" s="6"/>
      <c r="I50" s="6"/>
      <c r="J50" s="16">
        <v>8.0</v>
      </c>
      <c r="K50" s="6"/>
      <c r="L50" s="16">
        <v>1.0</v>
      </c>
      <c r="M50" s="6"/>
      <c r="N50" s="16">
        <v>2.0</v>
      </c>
      <c r="O50" s="6"/>
      <c r="P50" s="6"/>
      <c r="Q50" s="6"/>
      <c r="R50" s="16">
        <v>5.0</v>
      </c>
      <c r="S50" s="6"/>
    </row>
    <row r="51">
      <c r="A51" s="18" t="str">
        <f t="shared" ref="A51:A65" si="4">A50</f>
        <v>Chimie</v>
      </c>
      <c r="B51" s="16">
        <v>3.0</v>
      </c>
      <c r="C51" s="6"/>
      <c r="D51" s="6"/>
      <c r="E51" s="16">
        <v>8.0</v>
      </c>
      <c r="F51" s="6"/>
      <c r="G51" s="16">
        <v>7.0</v>
      </c>
      <c r="H51" s="6"/>
      <c r="I51" s="6"/>
      <c r="J51" s="16">
        <v>1.0</v>
      </c>
      <c r="K51" s="6"/>
      <c r="L51" s="16">
        <v>2.0</v>
      </c>
      <c r="M51" s="6"/>
      <c r="N51" s="16">
        <v>3.0</v>
      </c>
      <c r="O51" s="6"/>
      <c r="P51" s="6"/>
      <c r="Q51" s="6"/>
      <c r="R51" s="16">
        <v>2.0</v>
      </c>
      <c r="S51" s="6"/>
    </row>
    <row r="52">
      <c r="A52" s="18" t="str">
        <f t="shared" si="4"/>
        <v>Chimie</v>
      </c>
      <c r="B52" s="16">
        <v>5.0</v>
      </c>
      <c r="C52" s="6"/>
      <c r="D52" s="6"/>
      <c r="E52" s="16">
        <v>6.0</v>
      </c>
      <c r="F52" s="6"/>
      <c r="G52" s="16">
        <v>8.0</v>
      </c>
      <c r="H52" s="6"/>
      <c r="I52" s="6"/>
      <c r="J52" s="16">
        <v>2.0</v>
      </c>
      <c r="K52" s="6"/>
      <c r="L52" s="16">
        <v>7.0</v>
      </c>
      <c r="M52" s="6"/>
      <c r="N52" s="16">
        <v>1.0</v>
      </c>
      <c r="O52" s="6"/>
      <c r="P52" s="6"/>
      <c r="Q52" s="6"/>
      <c r="R52" s="16">
        <v>3.0</v>
      </c>
      <c r="S52" s="6"/>
    </row>
    <row r="53">
      <c r="A53" s="18" t="str">
        <f t="shared" si="4"/>
        <v>Chimie</v>
      </c>
      <c r="B53" s="16">
        <v>7.0</v>
      </c>
      <c r="C53" s="6"/>
      <c r="D53" s="6"/>
      <c r="E53" s="16">
        <v>5.0</v>
      </c>
      <c r="F53" s="6"/>
      <c r="G53" s="16">
        <v>6.0</v>
      </c>
      <c r="H53" s="6"/>
      <c r="I53" s="6"/>
      <c r="J53" s="16">
        <v>4.0</v>
      </c>
      <c r="K53" s="6"/>
      <c r="L53" s="16">
        <v>8.0</v>
      </c>
      <c r="M53" s="6"/>
      <c r="N53" s="16">
        <v>5.0</v>
      </c>
      <c r="O53" s="6"/>
      <c r="P53" s="6"/>
      <c r="Q53" s="6"/>
      <c r="R53" s="16">
        <v>1.0</v>
      </c>
      <c r="S53" s="6"/>
    </row>
    <row r="54">
      <c r="A54" s="18" t="str">
        <f t="shared" si="4"/>
        <v>Chimie</v>
      </c>
      <c r="B54" s="16">
        <v>9.0</v>
      </c>
      <c r="C54" s="6"/>
      <c r="D54" s="6"/>
      <c r="E54" s="16">
        <v>7.0</v>
      </c>
      <c r="F54" s="6"/>
      <c r="G54" s="16">
        <v>1.0</v>
      </c>
      <c r="H54" s="6"/>
      <c r="I54" s="6"/>
      <c r="J54" s="16">
        <v>7.0</v>
      </c>
      <c r="K54" s="6"/>
      <c r="L54" s="16">
        <v>5.0</v>
      </c>
      <c r="M54" s="6"/>
      <c r="N54" s="16">
        <v>4.0</v>
      </c>
      <c r="O54" s="6"/>
      <c r="P54" s="6"/>
      <c r="Q54" s="6"/>
      <c r="R54" s="16">
        <v>8.0</v>
      </c>
      <c r="S54" s="6"/>
    </row>
    <row r="55">
      <c r="A55" s="18" t="str">
        <f t="shared" si="4"/>
        <v>Chimie</v>
      </c>
      <c r="B55" s="16">
        <v>11.0</v>
      </c>
      <c r="C55" s="6"/>
      <c r="D55" s="6"/>
      <c r="E55" s="16">
        <v>4.0</v>
      </c>
      <c r="F55" s="6"/>
      <c r="G55" s="16">
        <v>2.0</v>
      </c>
      <c r="H55" s="6"/>
      <c r="I55" s="6"/>
      <c r="J55" s="16">
        <v>6.0</v>
      </c>
      <c r="K55" s="6"/>
      <c r="L55" s="16">
        <v>3.0</v>
      </c>
      <c r="M55" s="6"/>
      <c r="N55" s="16">
        <v>6.0</v>
      </c>
      <c r="O55" s="6"/>
      <c r="P55" s="6"/>
      <c r="Q55" s="6"/>
      <c r="R55" s="16">
        <v>4.0</v>
      </c>
      <c r="S55" s="6"/>
    </row>
    <row r="56">
      <c r="A56" s="18" t="str">
        <f t="shared" si="4"/>
        <v>Chimie</v>
      </c>
      <c r="B56" s="16">
        <v>13.0</v>
      </c>
      <c r="C56" s="6"/>
      <c r="D56" s="6"/>
      <c r="E56" s="16">
        <v>2.0</v>
      </c>
      <c r="F56" s="6"/>
      <c r="G56" s="16">
        <v>4.0</v>
      </c>
      <c r="H56" s="6"/>
      <c r="I56" s="6"/>
      <c r="J56" s="16">
        <v>3.0</v>
      </c>
      <c r="K56" s="6"/>
      <c r="L56" s="16">
        <v>6.0</v>
      </c>
      <c r="M56" s="6"/>
      <c r="N56" s="16">
        <v>8.0</v>
      </c>
      <c r="O56" s="6"/>
      <c r="P56" s="6"/>
      <c r="Q56" s="6"/>
      <c r="R56" s="16">
        <v>7.0</v>
      </c>
      <c r="S56" s="6"/>
    </row>
    <row r="57">
      <c r="A57" s="18" t="str">
        <f t="shared" si="4"/>
        <v>Chimie</v>
      </c>
      <c r="B57" s="16">
        <v>15.0</v>
      </c>
      <c r="C57" s="6"/>
      <c r="D57" s="6"/>
      <c r="E57" s="16">
        <v>1.0</v>
      </c>
      <c r="F57" s="6"/>
      <c r="G57" s="16">
        <v>3.0</v>
      </c>
      <c r="H57" s="6"/>
      <c r="I57" s="6"/>
      <c r="J57" s="16">
        <v>5.0</v>
      </c>
      <c r="K57" s="6"/>
      <c r="L57" s="16">
        <v>4.0</v>
      </c>
      <c r="M57" s="6"/>
      <c r="N57" s="16">
        <v>7.0</v>
      </c>
      <c r="O57" s="6"/>
      <c r="P57" s="6"/>
      <c r="Q57" s="6"/>
      <c r="R57" s="16">
        <v>6.0</v>
      </c>
      <c r="S57" s="6"/>
    </row>
    <row r="58">
      <c r="A58" s="18" t="str">
        <f t="shared" si="4"/>
        <v>Chimie</v>
      </c>
      <c r="B58" s="16">
        <v>2.0</v>
      </c>
      <c r="C58" s="6"/>
      <c r="D58" s="16">
        <v>8.0</v>
      </c>
      <c r="E58" s="6"/>
      <c r="F58" s="16">
        <v>7.0</v>
      </c>
      <c r="G58" s="6"/>
      <c r="H58" s="16"/>
      <c r="I58" s="16">
        <v>1.0</v>
      </c>
      <c r="J58" s="6"/>
      <c r="K58" s="16">
        <v>4.0</v>
      </c>
      <c r="L58" s="6"/>
      <c r="M58" s="16">
        <v>3.0</v>
      </c>
      <c r="N58" s="6"/>
      <c r="O58" s="16">
        <v>5.0</v>
      </c>
      <c r="P58" s="6"/>
      <c r="Q58" s="6"/>
      <c r="R58" s="6"/>
      <c r="S58" s="16">
        <v>2.0</v>
      </c>
    </row>
    <row r="59">
      <c r="A59" s="18" t="str">
        <f t="shared" si="4"/>
        <v>Chimie</v>
      </c>
      <c r="B59" s="16">
        <v>4.0</v>
      </c>
      <c r="C59" s="6"/>
      <c r="D59" s="16">
        <v>3.0</v>
      </c>
      <c r="E59" s="6"/>
      <c r="F59" s="16">
        <v>6.0</v>
      </c>
      <c r="G59" s="6"/>
      <c r="H59" s="16"/>
      <c r="I59" s="16">
        <v>8.0</v>
      </c>
      <c r="J59" s="6"/>
      <c r="K59" s="16">
        <v>7.0</v>
      </c>
      <c r="L59" s="6"/>
      <c r="M59" s="16">
        <v>1.0</v>
      </c>
      <c r="N59" s="6"/>
      <c r="O59" s="16">
        <v>3.0</v>
      </c>
      <c r="P59" s="6"/>
      <c r="Q59" s="6"/>
      <c r="R59" s="6"/>
      <c r="S59" s="16">
        <v>4.0</v>
      </c>
    </row>
    <row r="60">
      <c r="A60" s="18" t="str">
        <f t="shared" si="4"/>
        <v>Chimie</v>
      </c>
      <c r="B60" s="16">
        <v>6.0</v>
      </c>
      <c r="C60" s="6"/>
      <c r="D60" s="16">
        <v>5.0</v>
      </c>
      <c r="E60" s="6"/>
      <c r="F60" s="16">
        <v>3.0</v>
      </c>
      <c r="G60" s="6"/>
      <c r="H60" s="16"/>
      <c r="I60" s="16">
        <v>2.0</v>
      </c>
      <c r="J60" s="6"/>
      <c r="K60" s="16">
        <v>8.0</v>
      </c>
      <c r="L60" s="6"/>
      <c r="M60" s="16">
        <v>6.0</v>
      </c>
      <c r="N60" s="6"/>
      <c r="O60" s="16">
        <v>4.0</v>
      </c>
      <c r="P60" s="6"/>
      <c r="Q60" s="6"/>
      <c r="R60" s="6"/>
      <c r="S60" s="16">
        <v>3.0</v>
      </c>
    </row>
    <row r="61">
      <c r="A61" s="18" t="str">
        <f t="shared" si="4"/>
        <v>Chimie</v>
      </c>
      <c r="B61" s="16">
        <v>8.0</v>
      </c>
      <c r="C61" s="6"/>
      <c r="D61" s="16">
        <v>7.0</v>
      </c>
      <c r="E61" s="6"/>
      <c r="F61" s="16">
        <v>8.0</v>
      </c>
      <c r="G61" s="6"/>
      <c r="H61" s="16"/>
      <c r="I61" s="16">
        <v>5.0</v>
      </c>
      <c r="J61" s="6"/>
      <c r="K61" s="16">
        <v>1.0</v>
      </c>
      <c r="L61" s="6"/>
      <c r="M61" s="16">
        <v>5.0</v>
      </c>
      <c r="N61" s="6"/>
      <c r="O61" s="16">
        <v>7.0</v>
      </c>
      <c r="P61" s="6"/>
      <c r="Q61" s="6"/>
      <c r="R61" s="6"/>
      <c r="S61" s="16">
        <v>6.0</v>
      </c>
    </row>
    <row r="62">
      <c r="A62" s="18" t="str">
        <f t="shared" si="4"/>
        <v>Chimie</v>
      </c>
      <c r="B62" s="16">
        <v>10.0</v>
      </c>
      <c r="C62" s="6"/>
      <c r="D62" s="16">
        <v>4.0</v>
      </c>
      <c r="E62" s="6"/>
      <c r="F62" s="16">
        <v>1.0</v>
      </c>
      <c r="G62" s="6"/>
      <c r="H62" s="16"/>
      <c r="I62" s="16">
        <v>3.0</v>
      </c>
      <c r="J62" s="6"/>
      <c r="K62" s="16">
        <v>2.0</v>
      </c>
      <c r="L62" s="6"/>
      <c r="M62" s="16">
        <v>4.0</v>
      </c>
      <c r="N62" s="6"/>
      <c r="O62" s="16">
        <v>1.0</v>
      </c>
      <c r="P62" s="6"/>
      <c r="Q62" s="6"/>
      <c r="R62" s="6"/>
      <c r="S62" s="16">
        <v>5.0</v>
      </c>
    </row>
    <row r="63">
      <c r="A63" s="18" t="str">
        <f t="shared" si="4"/>
        <v>Chimie</v>
      </c>
      <c r="B63" s="16">
        <v>12.0</v>
      </c>
      <c r="C63" s="6"/>
      <c r="D63" s="16">
        <v>6.0</v>
      </c>
      <c r="E63" s="6"/>
      <c r="F63" s="16">
        <v>2.0</v>
      </c>
      <c r="G63" s="6"/>
      <c r="H63" s="16"/>
      <c r="I63" s="16">
        <v>4.0</v>
      </c>
      <c r="J63" s="6"/>
      <c r="K63" s="16">
        <v>5.0</v>
      </c>
      <c r="L63" s="6"/>
      <c r="M63" s="16">
        <v>8.0</v>
      </c>
      <c r="N63" s="6"/>
      <c r="O63" s="16">
        <v>2.0</v>
      </c>
      <c r="P63" s="6"/>
      <c r="Q63" s="6"/>
      <c r="R63" s="6"/>
      <c r="S63" s="16">
        <v>7.0</v>
      </c>
    </row>
    <row r="64">
      <c r="A64" s="18" t="str">
        <f t="shared" si="4"/>
        <v>Chimie</v>
      </c>
      <c r="B64" s="16">
        <v>14.0</v>
      </c>
      <c r="C64" s="6"/>
      <c r="D64" s="16">
        <v>2.0</v>
      </c>
      <c r="E64" s="6"/>
      <c r="F64" s="16">
        <v>4.0</v>
      </c>
      <c r="G64" s="6"/>
      <c r="H64" s="16"/>
      <c r="I64" s="16">
        <v>6.0</v>
      </c>
      <c r="J64" s="6"/>
      <c r="K64" s="16">
        <v>3.0</v>
      </c>
      <c r="L64" s="6"/>
      <c r="M64" s="16">
        <v>7.0</v>
      </c>
      <c r="N64" s="6"/>
      <c r="O64" s="16">
        <v>8.0</v>
      </c>
      <c r="P64" s="6"/>
      <c r="Q64" s="6"/>
      <c r="R64" s="6"/>
      <c r="S64" s="16">
        <v>1.0</v>
      </c>
    </row>
    <row r="65">
      <c r="A65" s="18" t="str">
        <f t="shared" si="4"/>
        <v>Chimie</v>
      </c>
      <c r="B65" s="16">
        <v>16.0</v>
      </c>
      <c r="C65" s="6"/>
      <c r="D65" s="16">
        <v>1.0</v>
      </c>
      <c r="E65" s="6"/>
      <c r="F65" s="16">
        <v>5.0</v>
      </c>
      <c r="G65" s="6"/>
      <c r="H65" s="16"/>
      <c r="I65" s="16">
        <v>7.0</v>
      </c>
      <c r="J65" s="6"/>
      <c r="K65" s="16">
        <v>6.0</v>
      </c>
      <c r="L65" s="6"/>
      <c r="M65" s="16">
        <v>2.0</v>
      </c>
      <c r="N65" s="6"/>
      <c r="O65" s="16">
        <v>6.0</v>
      </c>
      <c r="P65" s="6"/>
      <c r="Q65" s="6"/>
      <c r="R65" s="6"/>
      <c r="S65" s="16">
        <v>8.0</v>
      </c>
    </row>
    <row r="66">
      <c r="A66" s="18" t="s">
        <v>22</v>
      </c>
      <c r="B66" s="16">
        <v>1.0</v>
      </c>
      <c r="C66" s="6"/>
      <c r="D66" s="16">
        <v>1.0</v>
      </c>
      <c r="E66" s="6"/>
      <c r="F66" s="6"/>
      <c r="G66" s="6"/>
      <c r="H66" s="6"/>
      <c r="I66" s="6"/>
      <c r="J66" s="16">
        <v>2.0</v>
      </c>
      <c r="K66" s="6"/>
      <c r="L66" s="6"/>
      <c r="M66" s="6"/>
      <c r="N66" s="6"/>
      <c r="O66" s="16">
        <v>3.0</v>
      </c>
      <c r="P66" s="6"/>
      <c r="Q66" s="6"/>
      <c r="R66" s="6"/>
      <c r="S66" s="6"/>
    </row>
    <row r="67">
      <c r="A67" s="18" t="str">
        <f t="shared" ref="A67:A81" si="5">A66</f>
        <v>SI</v>
      </c>
      <c r="B67" s="16">
        <v>2.0</v>
      </c>
      <c r="C67" s="6"/>
      <c r="D67" s="16">
        <v>2.0</v>
      </c>
      <c r="E67" s="6"/>
      <c r="F67" s="6"/>
      <c r="G67" s="6"/>
      <c r="H67" s="16"/>
      <c r="I67" s="16">
        <v>3.0</v>
      </c>
      <c r="J67" s="6"/>
      <c r="K67" s="6"/>
      <c r="L67" s="6"/>
      <c r="M67" s="6"/>
      <c r="N67" s="6"/>
      <c r="O67" s="16">
        <v>1.0</v>
      </c>
      <c r="P67" s="6"/>
      <c r="Q67" s="6"/>
      <c r="R67" s="6"/>
      <c r="S67" s="6"/>
    </row>
    <row r="68">
      <c r="A68" s="18" t="str">
        <f t="shared" si="5"/>
        <v>SI</v>
      </c>
      <c r="B68" s="16">
        <v>3.0</v>
      </c>
      <c r="C68" s="6"/>
      <c r="D68" s="16">
        <v>3.0</v>
      </c>
      <c r="E68" s="6"/>
      <c r="F68" s="6"/>
      <c r="G68" s="6"/>
      <c r="H68" s="16"/>
      <c r="I68" s="16">
        <v>2.0</v>
      </c>
      <c r="J68" s="6"/>
      <c r="K68" s="6"/>
      <c r="L68" s="6"/>
      <c r="M68" s="16">
        <v>2.0</v>
      </c>
      <c r="N68" s="6"/>
      <c r="O68" s="6"/>
      <c r="P68" s="6"/>
      <c r="Q68" s="6"/>
      <c r="R68" s="6"/>
      <c r="S68" s="16">
        <v>2.0</v>
      </c>
    </row>
    <row r="69">
      <c r="A69" s="18" t="str">
        <f t="shared" si="5"/>
        <v>SI</v>
      </c>
      <c r="B69" s="16">
        <v>4.0</v>
      </c>
      <c r="C69" s="6"/>
      <c r="D69" s="6"/>
      <c r="E69" s="16">
        <v>1.0</v>
      </c>
      <c r="F69" s="6"/>
      <c r="G69" s="6"/>
      <c r="H69" s="16"/>
      <c r="I69" s="16">
        <v>4.0</v>
      </c>
      <c r="J69" s="6"/>
      <c r="K69" s="6"/>
      <c r="L69" s="6"/>
      <c r="M69" s="16">
        <v>3.0</v>
      </c>
      <c r="N69" s="6"/>
      <c r="O69" s="6"/>
      <c r="P69" s="6"/>
      <c r="Q69" s="6"/>
      <c r="R69" s="6"/>
      <c r="S69" s="16">
        <v>3.0</v>
      </c>
    </row>
    <row r="70">
      <c r="A70" s="18" t="str">
        <f t="shared" si="5"/>
        <v>SI</v>
      </c>
      <c r="B70" s="16">
        <v>5.0</v>
      </c>
      <c r="C70" s="6"/>
      <c r="D70" s="6"/>
      <c r="E70" s="6"/>
      <c r="F70" s="6"/>
      <c r="G70" s="16">
        <v>3.0</v>
      </c>
      <c r="H70" s="6"/>
      <c r="I70" s="6"/>
      <c r="J70" s="16">
        <v>1.0</v>
      </c>
      <c r="K70" s="6"/>
      <c r="L70" s="6"/>
      <c r="M70" s="6"/>
      <c r="N70" s="16">
        <v>4.0</v>
      </c>
      <c r="O70" s="6"/>
      <c r="P70" s="6"/>
      <c r="Q70" s="6"/>
      <c r="R70" s="6"/>
      <c r="S70" s="6"/>
    </row>
    <row r="71">
      <c r="A71" s="18" t="str">
        <f t="shared" si="5"/>
        <v>SI</v>
      </c>
      <c r="B71" s="16">
        <v>6.0</v>
      </c>
      <c r="C71" s="6"/>
      <c r="D71" s="6"/>
      <c r="E71" s="16">
        <v>2.0</v>
      </c>
      <c r="F71" s="6"/>
      <c r="G71" s="6"/>
      <c r="H71" s="6"/>
      <c r="I71" s="6"/>
      <c r="J71" s="6"/>
      <c r="K71" s="16">
        <v>1.0</v>
      </c>
      <c r="L71" s="6"/>
      <c r="M71" s="6"/>
      <c r="N71" s="16">
        <v>3.0</v>
      </c>
      <c r="O71" s="6"/>
      <c r="P71" s="6"/>
      <c r="Q71" s="6"/>
      <c r="R71" s="6"/>
      <c r="S71" s="6"/>
    </row>
    <row r="72">
      <c r="A72" s="18" t="str">
        <f t="shared" si="5"/>
        <v>SI</v>
      </c>
      <c r="B72" s="16">
        <v>7.0</v>
      </c>
      <c r="C72" s="6"/>
      <c r="D72" s="6"/>
      <c r="E72" s="16">
        <v>3.0</v>
      </c>
      <c r="F72" s="6"/>
      <c r="G72" s="6"/>
      <c r="H72" s="6"/>
      <c r="I72" s="6"/>
      <c r="J72" s="16">
        <v>4.0</v>
      </c>
      <c r="K72" s="6"/>
      <c r="L72" s="6"/>
      <c r="M72" s="6"/>
      <c r="N72" s="16">
        <v>1.0</v>
      </c>
      <c r="O72" s="6"/>
      <c r="P72" s="6"/>
      <c r="Q72" s="6"/>
      <c r="R72" s="6"/>
      <c r="S72" s="6"/>
    </row>
    <row r="73">
      <c r="A73" s="18" t="str">
        <f t="shared" si="5"/>
        <v>SI</v>
      </c>
      <c r="B73" s="16">
        <v>8.0</v>
      </c>
      <c r="C73" s="6"/>
      <c r="D73" s="6"/>
      <c r="E73" s="16">
        <v>4.0</v>
      </c>
      <c r="F73" s="6"/>
      <c r="G73" s="6"/>
      <c r="H73" s="16"/>
      <c r="I73" s="16">
        <v>1.0</v>
      </c>
      <c r="J73" s="6"/>
      <c r="K73" s="6"/>
      <c r="L73" s="6"/>
      <c r="M73" s="16">
        <v>4.0</v>
      </c>
      <c r="N73" s="6"/>
      <c r="O73" s="6"/>
      <c r="P73" s="6"/>
      <c r="Q73" s="6"/>
      <c r="R73" s="6"/>
      <c r="S73" s="16">
        <v>4.0</v>
      </c>
    </row>
    <row r="74">
      <c r="A74" s="18" t="str">
        <f t="shared" si="5"/>
        <v>SI</v>
      </c>
      <c r="B74" s="16">
        <v>9.0</v>
      </c>
      <c r="C74" s="6"/>
      <c r="D74" s="6"/>
      <c r="E74" s="6"/>
      <c r="F74" s="16">
        <v>1.0</v>
      </c>
      <c r="G74" s="6"/>
      <c r="H74" s="6"/>
      <c r="I74" s="6"/>
      <c r="J74" s="6"/>
      <c r="K74" s="6"/>
      <c r="L74" s="16">
        <v>1.0</v>
      </c>
      <c r="M74" s="6"/>
      <c r="N74" s="16">
        <v>2.0</v>
      </c>
      <c r="O74" s="6"/>
      <c r="P74" s="6"/>
      <c r="Q74" s="6"/>
      <c r="R74" s="6"/>
      <c r="S74" s="6"/>
    </row>
    <row r="75">
      <c r="A75" s="18" t="str">
        <f t="shared" si="5"/>
        <v>SI</v>
      </c>
      <c r="B75" s="16">
        <v>10.0</v>
      </c>
      <c r="C75" s="6"/>
      <c r="D75" s="6"/>
      <c r="E75" s="6"/>
      <c r="F75" s="16">
        <v>2.0</v>
      </c>
      <c r="G75" s="6"/>
      <c r="H75" s="6"/>
      <c r="I75" s="6"/>
      <c r="J75" s="6"/>
      <c r="K75" s="16">
        <v>3.0</v>
      </c>
      <c r="L75" s="6"/>
      <c r="M75" s="6"/>
      <c r="N75" s="6"/>
      <c r="O75" s="6"/>
      <c r="P75" s="6"/>
      <c r="Q75" s="6"/>
      <c r="R75" s="16">
        <v>4.0</v>
      </c>
      <c r="S75" s="6"/>
    </row>
    <row r="76">
      <c r="A76" s="18" t="str">
        <f t="shared" si="5"/>
        <v>SI</v>
      </c>
      <c r="B76" s="16">
        <v>11.0</v>
      </c>
      <c r="C76" s="6"/>
      <c r="D76" s="6"/>
      <c r="E76" s="6"/>
      <c r="F76" s="6"/>
      <c r="G76" s="16">
        <v>4.0</v>
      </c>
      <c r="H76" s="6"/>
      <c r="I76" s="6"/>
      <c r="J76" s="6"/>
      <c r="K76" s="16">
        <v>4.0</v>
      </c>
      <c r="L76" s="6"/>
      <c r="M76" s="6"/>
      <c r="N76" s="6"/>
      <c r="O76" s="16">
        <v>2.0</v>
      </c>
      <c r="P76" s="6"/>
      <c r="Q76" s="6"/>
      <c r="R76" s="6"/>
      <c r="S76" s="6"/>
    </row>
    <row r="77">
      <c r="A77" s="18" t="str">
        <f t="shared" si="5"/>
        <v>SI</v>
      </c>
      <c r="B77" s="16">
        <v>12.0</v>
      </c>
      <c r="C77" s="6"/>
      <c r="D77" s="6"/>
      <c r="E77" s="6"/>
      <c r="F77" s="16">
        <v>4.0</v>
      </c>
      <c r="G77" s="6"/>
      <c r="H77" s="6"/>
      <c r="I77" s="6"/>
      <c r="J77" s="6"/>
      <c r="K77" s="16">
        <v>2.0</v>
      </c>
      <c r="L77" s="6"/>
      <c r="M77" s="6"/>
      <c r="N77" s="6"/>
      <c r="O77" s="6"/>
      <c r="P77" s="6"/>
      <c r="Q77" s="6"/>
      <c r="R77" s="16">
        <v>2.0</v>
      </c>
      <c r="S77" s="6"/>
    </row>
    <row r="78">
      <c r="A78" s="18" t="str">
        <f t="shared" si="5"/>
        <v>SI</v>
      </c>
      <c r="B78" s="16">
        <v>13.0</v>
      </c>
      <c r="C78" s="6"/>
      <c r="D78" s="6"/>
      <c r="E78" s="6"/>
      <c r="F78" s="6"/>
      <c r="G78" s="16">
        <v>1.0</v>
      </c>
      <c r="H78" s="6"/>
      <c r="I78" s="6"/>
      <c r="J78" s="6"/>
      <c r="K78" s="6"/>
      <c r="L78" s="16">
        <v>2.0</v>
      </c>
      <c r="M78" s="6"/>
      <c r="N78" s="6"/>
      <c r="O78" s="6"/>
      <c r="P78" s="6"/>
      <c r="Q78" s="6"/>
      <c r="R78" s="16">
        <v>3.0</v>
      </c>
      <c r="S78" s="6"/>
    </row>
    <row r="79">
      <c r="A79" s="18" t="str">
        <f t="shared" si="5"/>
        <v>SI</v>
      </c>
      <c r="B79" s="16">
        <v>14.0</v>
      </c>
      <c r="C79" s="6"/>
      <c r="D79" s="6"/>
      <c r="E79" s="6"/>
      <c r="F79" s="6"/>
      <c r="G79" s="16">
        <v>2.0</v>
      </c>
      <c r="H79" s="6"/>
      <c r="I79" s="6"/>
      <c r="J79" s="6"/>
      <c r="K79" s="6"/>
      <c r="L79" s="16">
        <v>3.0</v>
      </c>
      <c r="M79" s="6"/>
      <c r="N79" s="6"/>
      <c r="O79" s="16">
        <v>4.0</v>
      </c>
      <c r="P79" s="6"/>
      <c r="Q79" s="6"/>
      <c r="R79" s="6"/>
      <c r="S79" s="6"/>
    </row>
    <row r="80">
      <c r="A80" s="18" t="str">
        <f t="shared" si="5"/>
        <v>SI</v>
      </c>
      <c r="B80" s="16">
        <v>15.0</v>
      </c>
      <c r="C80" s="6"/>
      <c r="D80" s="16">
        <v>4.0</v>
      </c>
      <c r="E80" s="6"/>
      <c r="F80" s="6"/>
      <c r="G80" s="6"/>
      <c r="H80" s="6"/>
      <c r="I80" s="6"/>
      <c r="J80" s="16">
        <v>3.0</v>
      </c>
      <c r="K80" s="6"/>
      <c r="L80" s="6"/>
      <c r="M80" s="16">
        <v>1.0</v>
      </c>
      <c r="N80" s="6"/>
      <c r="O80" s="6"/>
      <c r="P80" s="6"/>
      <c r="Q80" s="6"/>
      <c r="R80" s="6"/>
      <c r="S80" s="16">
        <v>1.0</v>
      </c>
    </row>
    <row r="81">
      <c r="A81" s="18" t="str">
        <f t="shared" si="5"/>
        <v>SI</v>
      </c>
      <c r="B81" s="16">
        <v>16.0</v>
      </c>
      <c r="C81" s="6"/>
      <c r="D81" s="6"/>
      <c r="E81" s="6"/>
      <c r="F81" s="16">
        <v>3.0</v>
      </c>
      <c r="G81" s="6"/>
      <c r="H81" s="6"/>
      <c r="I81" s="6"/>
      <c r="J81" s="6"/>
      <c r="K81" s="6"/>
      <c r="L81" s="16">
        <v>4.0</v>
      </c>
      <c r="M81" s="6"/>
      <c r="N81" s="6"/>
      <c r="O81" s="6"/>
      <c r="P81" s="6"/>
      <c r="Q81" s="6"/>
      <c r="R81" s="16">
        <v>1.0</v>
      </c>
      <c r="S81" s="6"/>
    </row>
    <row r="82">
      <c r="A82" s="18" t="s">
        <v>125</v>
      </c>
      <c r="B82" s="16">
        <v>1.0</v>
      </c>
      <c r="C82" s="6"/>
      <c r="D82" s="6"/>
      <c r="E82" s="6"/>
      <c r="F82" s="16">
        <v>1.0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16">
        <v>1.0</v>
      </c>
    </row>
    <row r="83">
      <c r="A83" s="18" t="str">
        <f t="shared" ref="A83:A97" si="6">A82</f>
        <v>Français</v>
      </c>
      <c r="B83" s="16">
        <v>2.0</v>
      </c>
      <c r="C83" s="6"/>
      <c r="D83" s="6"/>
      <c r="E83" s="6"/>
      <c r="F83" s="6"/>
      <c r="G83" s="6"/>
      <c r="H83" s="6"/>
      <c r="I83" s="6"/>
      <c r="J83" s="16">
        <v>2.0</v>
      </c>
      <c r="K83" s="6"/>
      <c r="L83" s="6"/>
      <c r="M83" s="6"/>
      <c r="N83" s="6"/>
      <c r="O83" s="6"/>
      <c r="P83" s="6"/>
      <c r="Q83" s="6"/>
      <c r="R83" s="6"/>
      <c r="S83" s="6"/>
    </row>
    <row r="84">
      <c r="A84" s="18" t="str">
        <f t="shared" si="6"/>
        <v>Français</v>
      </c>
      <c r="B84" s="16">
        <v>3.0</v>
      </c>
      <c r="C84" s="6"/>
      <c r="D84" s="6"/>
      <c r="E84" s="6"/>
      <c r="F84" s="16">
        <v>2.0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18" t="str">
        <f t="shared" si="6"/>
        <v>Français</v>
      </c>
      <c r="B85" s="16">
        <v>4.0</v>
      </c>
      <c r="C85" s="6"/>
      <c r="D85" s="6"/>
      <c r="E85" s="6"/>
      <c r="F85" s="6"/>
      <c r="G85" s="16">
        <v>2.0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18" t="str">
        <f t="shared" si="6"/>
        <v>Français</v>
      </c>
      <c r="B86" s="16">
        <v>5.0</v>
      </c>
      <c r="C86" s="6"/>
      <c r="D86" s="16">
        <v>1.0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16">
        <v>1.0</v>
      </c>
      <c r="P86" s="6"/>
      <c r="Q86" s="6"/>
      <c r="R86" s="6"/>
      <c r="S86" s="6"/>
    </row>
    <row r="87">
      <c r="A87" s="18" t="str">
        <f t="shared" si="6"/>
        <v>Français</v>
      </c>
      <c r="B87" s="16">
        <v>6.0</v>
      </c>
      <c r="C87" s="6"/>
      <c r="D87" s="6"/>
      <c r="E87" s="6"/>
      <c r="F87" s="6"/>
      <c r="G87" s="6"/>
      <c r="H87" s="6"/>
      <c r="I87" s="6"/>
      <c r="J87" s="6"/>
      <c r="K87" s="6"/>
      <c r="L87" s="16">
        <v>1.0</v>
      </c>
      <c r="M87" s="6"/>
      <c r="N87" s="6"/>
      <c r="O87" s="6"/>
      <c r="P87" s="6"/>
      <c r="Q87" s="6"/>
      <c r="R87" s="16">
        <v>1.0</v>
      </c>
      <c r="S87" s="6"/>
    </row>
    <row r="88">
      <c r="A88" s="18" t="str">
        <f t="shared" si="6"/>
        <v>Français</v>
      </c>
      <c r="B88" s="16">
        <v>7.0</v>
      </c>
      <c r="C88" s="6"/>
      <c r="D88" s="16">
        <v>2.0</v>
      </c>
      <c r="E88" s="6"/>
      <c r="F88" s="6"/>
      <c r="G88" s="6"/>
      <c r="H88" s="6"/>
      <c r="I88" s="6"/>
      <c r="J88" s="6"/>
      <c r="K88" s="6"/>
      <c r="L88" s="6"/>
      <c r="M88" s="110">
        <v>2.0</v>
      </c>
      <c r="N88" s="6"/>
      <c r="O88" s="16"/>
      <c r="P88" s="6"/>
      <c r="Q88" s="6"/>
      <c r="R88" s="6"/>
      <c r="S88" s="6"/>
    </row>
    <row r="89">
      <c r="A89" s="18" t="str">
        <f t="shared" si="6"/>
        <v>Français</v>
      </c>
      <c r="B89" s="16">
        <v>8.0</v>
      </c>
      <c r="C89" s="6"/>
      <c r="D89" s="6"/>
      <c r="E89" s="6"/>
      <c r="F89" s="6"/>
      <c r="G89" s="6"/>
      <c r="H89" s="6"/>
      <c r="I89" s="6"/>
      <c r="J89" s="6"/>
      <c r="K89" s="6"/>
      <c r="L89" s="16">
        <v>2.0</v>
      </c>
      <c r="M89" s="6"/>
      <c r="N89" s="6"/>
      <c r="O89" s="6"/>
      <c r="P89" s="6"/>
      <c r="Q89" s="6"/>
      <c r="R89" s="16">
        <v>2.0</v>
      </c>
      <c r="S89" s="6"/>
    </row>
    <row r="90">
      <c r="A90" s="18" t="str">
        <f t="shared" si="6"/>
        <v>Français</v>
      </c>
      <c r="B90" s="16">
        <v>9.0</v>
      </c>
      <c r="C90" s="6"/>
      <c r="D90" s="6"/>
      <c r="E90" s="6"/>
      <c r="F90" s="6"/>
      <c r="G90" s="6"/>
      <c r="H90" s="16"/>
      <c r="I90" s="16">
        <v>1.0</v>
      </c>
      <c r="J90" s="6"/>
      <c r="K90" s="6"/>
      <c r="L90" s="6"/>
      <c r="M90" s="16"/>
      <c r="N90" s="6"/>
      <c r="O90" s="110">
        <v>2.0</v>
      </c>
      <c r="P90" s="6"/>
      <c r="Q90" s="6"/>
      <c r="R90" s="6"/>
      <c r="S90" s="6"/>
    </row>
    <row r="91">
      <c r="A91" s="18" t="str">
        <f t="shared" si="6"/>
        <v>Français</v>
      </c>
      <c r="B91" s="16">
        <v>10.0</v>
      </c>
      <c r="C91" s="6"/>
      <c r="D91" s="6"/>
      <c r="E91" s="16">
        <v>2.0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A92" s="18" t="str">
        <f t="shared" si="6"/>
        <v>Français</v>
      </c>
      <c r="B92" s="16">
        <v>11.0</v>
      </c>
      <c r="C92" s="6"/>
      <c r="D92" s="6"/>
      <c r="E92" s="6"/>
      <c r="F92" s="6"/>
      <c r="G92" s="6"/>
      <c r="H92" s="16"/>
      <c r="I92" s="16">
        <v>2.0</v>
      </c>
      <c r="J92" s="6"/>
      <c r="K92" s="6"/>
      <c r="L92" s="6"/>
      <c r="M92" s="16">
        <v>1.0</v>
      </c>
      <c r="N92" s="6"/>
      <c r="O92" s="6"/>
      <c r="P92" s="6"/>
      <c r="Q92" s="6"/>
      <c r="R92" s="6"/>
      <c r="S92" s="6"/>
    </row>
    <row r="93">
      <c r="A93" s="18" t="str">
        <f t="shared" si="6"/>
        <v>Français</v>
      </c>
      <c r="B93" s="16">
        <v>12.0</v>
      </c>
      <c r="C93" s="6"/>
      <c r="D93" s="6"/>
      <c r="E93" s="16">
        <v>1.0</v>
      </c>
      <c r="F93" s="6"/>
      <c r="G93" s="6"/>
      <c r="H93" s="6"/>
      <c r="I93" s="6"/>
      <c r="J93" s="6"/>
      <c r="K93" s="6"/>
      <c r="L93" s="6"/>
      <c r="M93" s="6"/>
      <c r="N93" s="16">
        <v>1.0</v>
      </c>
      <c r="O93" s="6"/>
      <c r="P93" s="6"/>
      <c r="Q93" s="6"/>
      <c r="R93" s="6"/>
      <c r="S93" s="6"/>
    </row>
    <row r="94">
      <c r="A94" s="18" t="str">
        <f t="shared" si="6"/>
        <v>Français</v>
      </c>
      <c r="B94" s="16">
        <v>13.0</v>
      </c>
      <c r="C94" s="6"/>
      <c r="D94" s="6"/>
      <c r="E94" s="6"/>
      <c r="F94" s="6"/>
      <c r="G94" s="6"/>
      <c r="H94" s="6"/>
      <c r="I94" s="6"/>
      <c r="J94" s="6"/>
      <c r="K94" s="16">
        <v>1.0</v>
      </c>
      <c r="L94" s="6"/>
      <c r="M94" s="6"/>
      <c r="N94" s="6"/>
      <c r="O94" s="6"/>
      <c r="P94" s="6"/>
      <c r="Q94" s="6"/>
      <c r="R94" s="6"/>
      <c r="S94" s="16">
        <v>2.0</v>
      </c>
    </row>
    <row r="95">
      <c r="A95" s="18" t="str">
        <f t="shared" si="6"/>
        <v>Français</v>
      </c>
      <c r="B95" s="16">
        <v>14.0</v>
      </c>
      <c r="C95" s="6"/>
      <c r="D95" s="6"/>
      <c r="E95" s="6"/>
      <c r="F95" s="6"/>
      <c r="G95" s="6"/>
      <c r="H95" s="6"/>
      <c r="I95" s="6"/>
      <c r="J95" s="16">
        <v>1.0</v>
      </c>
      <c r="K95" s="6"/>
      <c r="L95" s="6"/>
      <c r="M95" s="6"/>
      <c r="N95" s="6"/>
      <c r="O95" s="6"/>
      <c r="P95" s="6"/>
      <c r="Q95" s="6"/>
      <c r="R95" s="6"/>
      <c r="S95" s="6"/>
    </row>
    <row r="96">
      <c r="A96" s="18" t="str">
        <f t="shared" si="6"/>
        <v>Français</v>
      </c>
      <c r="B96" s="16">
        <v>15.0</v>
      </c>
      <c r="C96" s="6"/>
      <c r="D96" s="6"/>
      <c r="E96" s="6"/>
      <c r="F96" s="6"/>
      <c r="G96" s="6"/>
      <c r="H96" s="6"/>
      <c r="I96" s="6"/>
      <c r="J96" s="6"/>
      <c r="K96" s="16">
        <v>2.0</v>
      </c>
      <c r="L96" s="6"/>
      <c r="M96" s="6"/>
      <c r="N96" s="6"/>
      <c r="O96" s="6"/>
      <c r="P96" s="6"/>
      <c r="Q96" s="6"/>
      <c r="R96" s="6"/>
      <c r="S96" s="6"/>
    </row>
    <row r="97">
      <c r="A97" s="18" t="str">
        <f t="shared" si="6"/>
        <v>Français</v>
      </c>
      <c r="B97" s="16">
        <v>16.0</v>
      </c>
      <c r="C97" s="6"/>
      <c r="D97" s="6"/>
      <c r="E97" s="6"/>
      <c r="F97" s="6"/>
      <c r="G97" s="16">
        <v>1.0</v>
      </c>
      <c r="H97" s="6"/>
      <c r="I97" s="6"/>
      <c r="J97" s="6"/>
      <c r="K97" s="6"/>
      <c r="L97" s="6"/>
      <c r="M97" s="6"/>
      <c r="N97" s="16">
        <v>2.0</v>
      </c>
      <c r="O97" s="6"/>
      <c r="P97" s="6"/>
      <c r="Q97" s="6"/>
      <c r="R97" s="6"/>
      <c r="S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8" width="12.63"/>
    <col customWidth="1" min="11" max="11" width="17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18" t="s">
        <v>27</v>
      </c>
      <c r="L1" s="18" t="s">
        <v>24</v>
      </c>
      <c r="M1" s="18" t="s">
        <v>34</v>
      </c>
      <c r="N1" s="110" t="s">
        <v>35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8" t="str">
        <f>Colleurs!$C$1</f>
        <v>Mathématiques</v>
      </c>
      <c r="B2" s="18" t="str">
        <f t="shared" ref="B2:B39" si="1">if(A2=I2,K2,"")</f>
        <v>M. Villéger</v>
      </c>
      <c r="C2" s="18" t="str">
        <f>Colleurs!$C$2</f>
        <v>M. Villéger</v>
      </c>
      <c r="D2" s="18">
        <f t="shared" ref="D2:D39" si="2">if(C2=K2,J2,"")</f>
        <v>1</v>
      </c>
      <c r="E2" s="18" t="str">
        <f>'Colleurs V2'!$M$1</f>
        <v>Mathématiques</v>
      </c>
      <c r="F2" s="18" t="str">
        <f t="shared" ref="F2:F39" si="3">IF(E2=I2,K2,"")</f>
        <v>M. Villéger</v>
      </c>
      <c r="G2" s="18" t="str">
        <f>'Colleurs V2'!$M$2</f>
        <v>M. Villéger</v>
      </c>
      <c r="H2" s="18">
        <f t="shared" ref="H2:H39" si="4">IF(G2=K2,J2,"")</f>
        <v>1</v>
      </c>
      <c r="I2" s="18" t="s">
        <v>26</v>
      </c>
      <c r="J2" s="16">
        <v>1.0</v>
      </c>
      <c r="K2" s="18" t="s">
        <v>33</v>
      </c>
      <c r="L2" s="16">
        <v>2.0</v>
      </c>
      <c r="M2" s="16">
        <v>15.0</v>
      </c>
      <c r="N2" s="110" t="s">
        <v>80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8" t="str">
        <f>Colleurs!$C$1</f>
        <v>Mathématiques</v>
      </c>
      <c r="B3" s="18" t="str">
        <f t="shared" si="1"/>
        <v>M. Villéger</v>
      </c>
      <c r="C3" s="18" t="str">
        <f>Colleurs!$C$2</f>
        <v>M. Villéger</v>
      </c>
      <c r="D3" s="18">
        <f t="shared" si="2"/>
        <v>2</v>
      </c>
      <c r="E3" s="18" t="str">
        <f>'Colleurs V2'!$M$1</f>
        <v>Mathématiques</v>
      </c>
      <c r="F3" s="18" t="str">
        <f t="shared" si="3"/>
        <v>M. Villéger</v>
      </c>
      <c r="G3" s="18" t="str">
        <f>'Colleurs V2'!$M$2</f>
        <v>M. Villéger</v>
      </c>
      <c r="H3" s="18">
        <f t="shared" si="4"/>
        <v>2</v>
      </c>
      <c r="I3" s="18" t="str">
        <f t="shared" ref="I3:I9" si="5">I2</f>
        <v>Mathématiques</v>
      </c>
      <c r="J3" s="16">
        <v>2.0</v>
      </c>
      <c r="K3" s="18" t="s">
        <v>33</v>
      </c>
      <c r="L3" s="16">
        <v>2.0</v>
      </c>
      <c r="M3" s="16">
        <v>16.0</v>
      </c>
      <c r="N3" s="110" t="s">
        <v>80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8" t="str">
        <f>Colleurs!$C$1</f>
        <v>Mathématiques</v>
      </c>
      <c r="B4" s="18" t="str">
        <f t="shared" si="1"/>
        <v>Mme Gil</v>
      </c>
      <c r="C4" s="18" t="str">
        <f>Colleurs!$C$2</f>
        <v>M. Villéger</v>
      </c>
      <c r="D4" s="18" t="str">
        <f t="shared" si="2"/>
        <v/>
      </c>
      <c r="E4" s="18" t="str">
        <f>'Colleurs V2'!$M$1</f>
        <v>Mathématiques</v>
      </c>
      <c r="F4" s="18" t="str">
        <f t="shared" si="3"/>
        <v>Mme Gil</v>
      </c>
      <c r="G4" s="18" t="str">
        <f>'Colleurs V2'!$M$2</f>
        <v>M. Villéger</v>
      </c>
      <c r="H4" s="18" t="str">
        <f t="shared" si="4"/>
        <v/>
      </c>
      <c r="I4" s="18" t="str">
        <f t="shared" si="5"/>
        <v>Mathématiques</v>
      </c>
      <c r="J4" s="16">
        <v>3.0</v>
      </c>
      <c r="K4" s="18" t="s">
        <v>126</v>
      </c>
      <c r="L4" s="16">
        <v>2.0</v>
      </c>
      <c r="M4" s="16">
        <v>15.0</v>
      </c>
      <c r="N4" s="110" t="s">
        <v>127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8" t="str">
        <f>Colleurs!$C$1</f>
        <v>Mathématiques</v>
      </c>
      <c r="B5" s="18" t="str">
        <f t="shared" si="1"/>
        <v>M. Franch</v>
      </c>
      <c r="C5" s="18" t="str">
        <f>Colleurs!$C$2</f>
        <v>M. Villéger</v>
      </c>
      <c r="D5" s="18" t="str">
        <f t="shared" si="2"/>
        <v/>
      </c>
      <c r="E5" s="18" t="str">
        <f>'Colleurs V2'!$M$1</f>
        <v>Mathématiques</v>
      </c>
      <c r="F5" s="18" t="str">
        <f t="shared" si="3"/>
        <v>M. Franch</v>
      </c>
      <c r="G5" s="18" t="str">
        <f>'Colleurs V2'!$M$2</f>
        <v>M. Villéger</v>
      </c>
      <c r="H5" s="18" t="str">
        <f t="shared" si="4"/>
        <v/>
      </c>
      <c r="I5" s="18" t="str">
        <f t="shared" si="5"/>
        <v>Mathématiques</v>
      </c>
      <c r="J5" s="16">
        <v>4.0</v>
      </c>
      <c r="K5" s="18" t="s">
        <v>128</v>
      </c>
      <c r="L5" s="16">
        <v>2.0</v>
      </c>
      <c r="M5" s="16">
        <v>17.0</v>
      </c>
      <c r="N5" s="110" t="s">
        <v>129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8" t="str">
        <f>Colleurs!$C$1</f>
        <v>Mathématiques</v>
      </c>
      <c r="B6" s="18" t="str">
        <f t="shared" si="1"/>
        <v>M. Ghiberti</v>
      </c>
      <c r="C6" s="18" t="str">
        <f>Colleurs!$C$2</f>
        <v>M. Villéger</v>
      </c>
      <c r="D6" s="18" t="str">
        <f t="shared" si="2"/>
        <v/>
      </c>
      <c r="E6" s="18" t="str">
        <f>'Colleurs V2'!$M$1</f>
        <v>Mathématiques</v>
      </c>
      <c r="F6" s="18" t="str">
        <f t="shared" si="3"/>
        <v>M. Ghiberti</v>
      </c>
      <c r="G6" s="18" t="str">
        <f>'Colleurs V2'!$M$2</f>
        <v>M. Villéger</v>
      </c>
      <c r="H6" s="18" t="str">
        <f t="shared" si="4"/>
        <v/>
      </c>
      <c r="I6" s="18" t="str">
        <f t="shared" si="5"/>
        <v>Mathématiques</v>
      </c>
      <c r="J6" s="16">
        <v>5.0</v>
      </c>
      <c r="K6" s="18" t="s">
        <v>130</v>
      </c>
      <c r="L6" s="16">
        <v>0.0</v>
      </c>
      <c r="M6" s="16">
        <v>17.0</v>
      </c>
      <c r="N6" s="110" t="s">
        <v>43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8" t="str">
        <f>Colleurs!$C$1</f>
        <v>Mathématiques</v>
      </c>
      <c r="B7" s="18" t="str">
        <f t="shared" si="1"/>
        <v>Mme Peyrelevade</v>
      </c>
      <c r="C7" s="18" t="str">
        <f>Colleurs!$C$2</f>
        <v>M. Villéger</v>
      </c>
      <c r="D7" s="18" t="str">
        <f t="shared" si="2"/>
        <v/>
      </c>
      <c r="E7" s="18" t="str">
        <f>'Colleurs V2'!$M$1</f>
        <v>Mathématiques</v>
      </c>
      <c r="F7" s="18" t="str">
        <f t="shared" si="3"/>
        <v>Mme Peyrelevade</v>
      </c>
      <c r="G7" s="18" t="str">
        <f>'Colleurs V2'!$M$2</f>
        <v>M. Villéger</v>
      </c>
      <c r="H7" s="18" t="str">
        <f t="shared" si="4"/>
        <v/>
      </c>
      <c r="I7" s="18" t="str">
        <f t="shared" si="5"/>
        <v>Mathématiques</v>
      </c>
      <c r="J7" s="16">
        <v>6.0</v>
      </c>
      <c r="K7" s="18" t="s">
        <v>131</v>
      </c>
      <c r="L7" s="16">
        <v>3.0</v>
      </c>
      <c r="M7" s="16">
        <v>13.0</v>
      </c>
      <c r="N7" s="110" t="s">
        <v>43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8" t="str">
        <f>Colleurs!$C$1</f>
        <v>Mathématiques</v>
      </c>
      <c r="B8" s="18" t="str">
        <f t="shared" si="1"/>
        <v>Mme Royer</v>
      </c>
      <c r="C8" s="18" t="str">
        <f>Colleurs!$C$2</f>
        <v>M. Villéger</v>
      </c>
      <c r="D8" s="18" t="str">
        <f t="shared" si="2"/>
        <v/>
      </c>
      <c r="E8" s="18" t="str">
        <f>'Colleurs V2'!$M$1</f>
        <v>Mathématiques</v>
      </c>
      <c r="F8" s="18" t="str">
        <f t="shared" si="3"/>
        <v>Mme Royer</v>
      </c>
      <c r="G8" s="18" t="str">
        <f>'Colleurs V2'!$M$2</f>
        <v>M. Villéger</v>
      </c>
      <c r="H8" s="18" t="str">
        <f t="shared" si="4"/>
        <v/>
      </c>
      <c r="I8" s="18" t="str">
        <f t="shared" si="5"/>
        <v>Mathématiques</v>
      </c>
      <c r="J8" s="16">
        <v>7.0</v>
      </c>
      <c r="K8" s="18" t="s">
        <v>132</v>
      </c>
      <c r="L8" s="16">
        <v>3.0</v>
      </c>
      <c r="M8" s="16">
        <v>17.0</v>
      </c>
      <c r="N8" s="110" t="s">
        <v>127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8" t="str">
        <f>Colleurs!$C$1</f>
        <v>Mathématiques</v>
      </c>
      <c r="B9" s="18" t="str">
        <f t="shared" si="1"/>
        <v>Mme Royer</v>
      </c>
      <c r="C9" s="18" t="str">
        <f>Colleurs!$C$2</f>
        <v>M. Villéger</v>
      </c>
      <c r="D9" s="18" t="str">
        <f t="shared" si="2"/>
        <v/>
      </c>
      <c r="E9" s="18" t="str">
        <f>'Colleurs V2'!$M$1</f>
        <v>Mathématiques</v>
      </c>
      <c r="F9" s="18" t="str">
        <f t="shared" si="3"/>
        <v>Mme Royer</v>
      </c>
      <c r="G9" s="18" t="str">
        <f>'Colleurs V2'!$M$2</f>
        <v>M. Villéger</v>
      </c>
      <c r="H9" s="18" t="str">
        <f t="shared" si="4"/>
        <v/>
      </c>
      <c r="I9" s="18" t="str">
        <f t="shared" si="5"/>
        <v>Mathématiques</v>
      </c>
      <c r="J9" s="16">
        <v>8.0</v>
      </c>
      <c r="K9" s="18" t="s">
        <v>132</v>
      </c>
      <c r="L9" s="16">
        <v>3.0</v>
      </c>
      <c r="M9" s="16">
        <v>18.0</v>
      </c>
      <c r="N9" s="110" t="s">
        <v>127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8" t="str">
        <f>Colleurs!$C$1</f>
        <v>Mathématiques</v>
      </c>
      <c r="B10" s="18" t="str">
        <f t="shared" si="1"/>
        <v/>
      </c>
      <c r="C10" s="18" t="str">
        <f>Colleurs!$C$2</f>
        <v>M. Villéger</v>
      </c>
      <c r="D10" s="18" t="str">
        <f t="shared" si="2"/>
        <v/>
      </c>
      <c r="E10" s="18" t="str">
        <f>'Colleurs V2'!$M$1</f>
        <v>Mathématiques</v>
      </c>
      <c r="F10" s="18" t="str">
        <f t="shared" si="3"/>
        <v/>
      </c>
      <c r="G10" s="18" t="str">
        <f>'Colleurs V2'!$M$2</f>
        <v>M. Villéger</v>
      </c>
      <c r="H10" s="18" t="str">
        <f t="shared" si="4"/>
        <v/>
      </c>
      <c r="I10" s="18" t="s">
        <v>124</v>
      </c>
      <c r="J10" s="16">
        <v>1.0</v>
      </c>
      <c r="K10" s="18" t="s">
        <v>133</v>
      </c>
      <c r="L10" s="16">
        <v>0.0</v>
      </c>
      <c r="M10" s="16">
        <v>16.0</v>
      </c>
      <c r="N10" s="110" t="s">
        <v>134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8" t="str">
        <f>Colleurs!$C$1</f>
        <v>Mathématiques</v>
      </c>
      <c r="B11" s="18" t="str">
        <f t="shared" si="1"/>
        <v/>
      </c>
      <c r="C11" s="18" t="str">
        <f>Colleurs!$C$2</f>
        <v>M. Villéger</v>
      </c>
      <c r="D11" s="18" t="str">
        <f t="shared" si="2"/>
        <v/>
      </c>
      <c r="E11" s="18" t="str">
        <f>'Colleurs V2'!$M$1</f>
        <v>Mathématiques</v>
      </c>
      <c r="F11" s="18" t="str">
        <f t="shared" si="3"/>
        <v/>
      </c>
      <c r="G11" s="18" t="str">
        <f>'Colleurs V2'!$M$2</f>
        <v>M. Villéger</v>
      </c>
      <c r="H11" s="18" t="str">
        <f t="shared" si="4"/>
        <v/>
      </c>
      <c r="I11" s="18" t="str">
        <f t="shared" ref="I11:I17" si="6">I10</f>
        <v>Anglais</v>
      </c>
      <c r="J11" s="16">
        <v>2.0</v>
      </c>
      <c r="K11" s="18" t="s">
        <v>133</v>
      </c>
      <c r="L11" s="16">
        <v>2.0</v>
      </c>
      <c r="M11" s="16">
        <v>15.0</v>
      </c>
      <c r="N11" s="110" t="s">
        <v>135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8" t="str">
        <f>Colleurs!$C$1</f>
        <v>Mathématiques</v>
      </c>
      <c r="B12" s="18" t="str">
        <f t="shared" si="1"/>
        <v/>
      </c>
      <c r="C12" s="18" t="str">
        <f>Colleurs!$C$2</f>
        <v>M. Villéger</v>
      </c>
      <c r="D12" s="18" t="str">
        <f t="shared" si="2"/>
        <v/>
      </c>
      <c r="E12" s="18" t="str">
        <f>'Colleurs V2'!$M$1</f>
        <v>Mathématiques</v>
      </c>
      <c r="F12" s="18" t="str">
        <f t="shared" si="3"/>
        <v/>
      </c>
      <c r="G12" s="18" t="str">
        <f>'Colleurs V2'!$M$2</f>
        <v>M. Villéger</v>
      </c>
      <c r="H12" s="18" t="str">
        <f t="shared" si="4"/>
        <v/>
      </c>
      <c r="I12" s="18" t="str">
        <f t="shared" si="6"/>
        <v>Anglais</v>
      </c>
      <c r="J12" s="16">
        <v>3.0</v>
      </c>
      <c r="K12" s="18" t="s">
        <v>136</v>
      </c>
      <c r="L12" s="16">
        <v>2.0</v>
      </c>
      <c r="M12" s="16">
        <v>15.0</v>
      </c>
      <c r="N12" s="110" t="s">
        <v>137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8" t="str">
        <f>Colleurs!$C$1</f>
        <v>Mathématiques</v>
      </c>
      <c r="B13" s="18" t="str">
        <f t="shared" si="1"/>
        <v/>
      </c>
      <c r="C13" s="18" t="str">
        <f>Colleurs!$C$2</f>
        <v>M. Villéger</v>
      </c>
      <c r="D13" s="18" t="str">
        <f t="shared" si="2"/>
        <v/>
      </c>
      <c r="E13" s="18" t="str">
        <f>'Colleurs V2'!$M$1</f>
        <v>Mathématiques</v>
      </c>
      <c r="F13" s="18" t="str">
        <f t="shared" si="3"/>
        <v/>
      </c>
      <c r="G13" s="18" t="str">
        <f>'Colleurs V2'!$M$2</f>
        <v>M. Villéger</v>
      </c>
      <c r="H13" s="18" t="str">
        <f t="shared" si="4"/>
        <v/>
      </c>
      <c r="I13" s="18" t="str">
        <f t="shared" si="6"/>
        <v>Anglais</v>
      </c>
      <c r="J13" s="16">
        <v>4.0</v>
      </c>
      <c r="K13" s="18" t="s">
        <v>136</v>
      </c>
      <c r="L13" s="16">
        <v>2.0</v>
      </c>
      <c r="M13" s="16">
        <v>16.0</v>
      </c>
      <c r="N13" s="110" t="s">
        <v>137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8" t="str">
        <f>Colleurs!$C$1</f>
        <v>Mathématiques</v>
      </c>
      <c r="B14" s="18" t="str">
        <f t="shared" si="1"/>
        <v/>
      </c>
      <c r="C14" s="18" t="str">
        <f>Colleurs!$C$2</f>
        <v>M. Villéger</v>
      </c>
      <c r="D14" s="18" t="str">
        <f t="shared" si="2"/>
        <v/>
      </c>
      <c r="E14" s="18" t="str">
        <f>'Colleurs V2'!$M$1</f>
        <v>Mathématiques</v>
      </c>
      <c r="F14" s="18" t="str">
        <f t="shared" si="3"/>
        <v/>
      </c>
      <c r="G14" s="18" t="str">
        <f>'Colleurs V2'!$M$2</f>
        <v>M. Villéger</v>
      </c>
      <c r="H14" s="18" t="str">
        <f t="shared" si="4"/>
        <v/>
      </c>
      <c r="I14" s="18" t="str">
        <f t="shared" si="6"/>
        <v>Anglais</v>
      </c>
      <c r="J14" s="16">
        <v>5.0</v>
      </c>
      <c r="K14" s="18" t="s">
        <v>138</v>
      </c>
      <c r="L14" s="16">
        <v>3.0</v>
      </c>
      <c r="M14" s="16">
        <v>16.0</v>
      </c>
      <c r="N14" s="110" t="s">
        <v>139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8" t="str">
        <f>Colleurs!$C$1</f>
        <v>Mathématiques</v>
      </c>
      <c r="B15" s="18" t="str">
        <f t="shared" si="1"/>
        <v/>
      </c>
      <c r="C15" s="18" t="str">
        <f>Colleurs!$C$2</f>
        <v>M. Villéger</v>
      </c>
      <c r="D15" s="18" t="str">
        <f t="shared" si="2"/>
        <v/>
      </c>
      <c r="E15" s="18" t="str">
        <f>'Colleurs V2'!$M$1</f>
        <v>Mathématiques</v>
      </c>
      <c r="F15" s="18" t="str">
        <f t="shared" si="3"/>
        <v/>
      </c>
      <c r="G15" s="18" t="str">
        <f>'Colleurs V2'!$M$2</f>
        <v>M. Villéger</v>
      </c>
      <c r="H15" s="18" t="str">
        <f t="shared" si="4"/>
        <v/>
      </c>
      <c r="I15" s="18" t="str">
        <f t="shared" si="6"/>
        <v>Anglais</v>
      </c>
      <c r="J15" s="16">
        <v>6.0</v>
      </c>
      <c r="K15" s="18" t="s">
        <v>138</v>
      </c>
      <c r="L15" s="16">
        <v>3.0</v>
      </c>
      <c r="M15" s="16">
        <v>17.0</v>
      </c>
      <c r="N15" s="110" t="s">
        <v>139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8" t="str">
        <f>Colleurs!$C$1</f>
        <v>Mathématiques</v>
      </c>
      <c r="B16" s="18" t="str">
        <f t="shared" si="1"/>
        <v/>
      </c>
      <c r="C16" s="18" t="str">
        <f>Colleurs!$C$2</f>
        <v>M. Villéger</v>
      </c>
      <c r="D16" s="18" t="str">
        <f t="shared" si="2"/>
        <v/>
      </c>
      <c r="E16" s="18" t="str">
        <f>'Colleurs V2'!$M$1</f>
        <v>Mathématiques</v>
      </c>
      <c r="F16" s="18" t="str">
        <f t="shared" si="3"/>
        <v/>
      </c>
      <c r="G16" s="18" t="str">
        <f>'Colleurs V2'!$M$2</f>
        <v>M. Villéger</v>
      </c>
      <c r="H16" s="18" t="str">
        <f t="shared" si="4"/>
        <v/>
      </c>
      <c r="I16" s="18" t="str">
        <f t="shared" si="6"/>
        <v>Anglais</v>
      </c>
      <c r="J16" s="16">
        <v>7.0</v>
      </c>
      <c r="K16" s="18" t="s">
        <v>140</v>
      </c>
      <c r="L16" s="16">
        <v>4.0</v>
      </c>
      <c r="M16" s="16">
        <v>16.0</v>
      </c>
      <c r="N16" s="110" t="s">
        <v>141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8" t="str">
        <f>Colleurs!$C$1</f>
        <v>Mathématiques</v>
      </c>
      <c r="B17" s="18" t="str">
        <f t="shared" si="1"/>
        <v/>
      </c>
      <c r="C17" s="18" t="str">
        <f>Colleurs!$C$2</f>
        <v>M. Villéger</v>
      </c>
      <c r="D17" s="18" t="str">
        <f t="shared" si="2"/>
        <v/>
      </c>
      <c r="E17" s="18" t="str">
        <f>'Colleurs V2'!$M$1</f>
        <v>Mathématiques</v>
      </c>
      <c r="F17" s="18" t="str">
        <f t="shared" si="3"/>
        <v/>
      </c>
      <c r="G17" s="18" t="str">
        <f>'Colleurs V2'!$M$2</f>
        <v>M. Villéger</v>
      </c>
      <c r="H17" s="18" t="str">
        <f t="shared" si="4"/>
        <v/>
      </c>
      <c r="I17" s="18" t="str">
        <f t="shared" si="6"/>
        <v>Anglais</v>
      </c>
      <c r="J17" s="16">
        <v>8.0</v>
      </c>
      <c r="K17" s="18" t="s">
        <v>140</v>
      </c>
      <c r="L17" s="16">
        <v>4.0</v>
      </c>
      <c r="M17" s="16">
        <v>17.0</v>
      </c>
      <c r="N17" s="110" t="s">
        <v>141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8" t="str">
        <f>Colleurs!$C$1</f>
        <v>Mathématiques</v>
      </c>
      <c r="B18" s="18" t="str">
        <f t="shared" si="1"/>
        <v/>
      </c>
      <c r="C18" s="18" t="str">
        <f>Colleurs!$C$2</f>
        <v>M. Villéger</v>
      </c>
      <c r="D18" s="18" t="str">
        <f t="shared" si="2"/>
        <v/>
      </c>
      <c r="E18" s="18" t="str">
        <f>'Colleurs V2'!$M$1</f>
        <v>Mathématiques</v>
      </c>
      <c r="F18" s="18" t="str">
        <f t="shared" si="3"/>
        <v/>
      </c>
      <c r="G18" s="18" t="str">
        <f>'Colleurs V2'!$M$2</f>
        <v>M. Villéger</v>
      </c>
      <c r="H18" s="18" t="str">
        <f t="shared" si="4"/>
        <v/>
      </c>
      <c r="I18" s="18" t="s">
        <v>115</v>
      </c>
      <c r="J18" s="16">
        <v>1.0</v>
      </c>
      <c r="K18" s="18" t="s">
        <v>142</v>
      </c>
      <c r="L18" s="16">
        <v>3.0</v>
      </c>
      <c r="M18" s="16">
        <v>14.0</v>
      </c>
      <c r="N18" s="4" t="s">
        <v>129</v>
      </c>
    </row>
    <row r="19">
      <c r="A19" s="18" t="str">
        <f>Colleurs!$C$1</f>
        <v>Mathématiques</v>
      </c>
      <c r="B19" s="18" t="str">
        <f t="shared" si="1"/>
        <v/>
      </c>
      <c r="C19" s="18" t="str">
        <f>Colleurs!$C$2</f>
        <v>M. Villéger</v>
      </c>
      <c r="D19" s="18" t="str">
        <f t="shared" si="2"/>
        <v/>
      </c>
      <c r="E19" s="18" t="str">
        <f>'Colleurs V2'!$M$1</f>
        <v>Mathématiques</v>
      </c>
      <c r="F19" s="18" t="str">
        <f t="shared" si="3"/>
        <v/>
      </c>
      <c r="G19" s="18" t="str">
        <f>'Colleurs V2'!$M$2</f>
        <v>M. Villéger</v>
      </c>
      <c r="H19" s="18" t="str">
        <f t="shared" si="4"/>
        <v/>
      </c>
      <c r="I19" s="18" t="str">
        <f t="shared" ref="I19:I25" si="7">I18</f>
        <v>Physique</v>
      </c>
      <c r="J19" s="16">
        <v>2.0</v>
      </c>
      <c r="K19" s="18" t="s">
        <v>142</v>
      </c>
      <c r="L19" s="16">
        <v>3.0</v>
      </c>
      <c r="M19" s="16">
        <v>15.0</v>
      </c>
      <c r="N19" s="4" t="s">
        <v>129</v>
      </c>
    </row>
    <row r="20">
      <c r="A20" s="18" t="str">
        <f>Colleurs!$C$1</f>
        <v>Mathématiques</v>
      </c>
      <c r="B20" s="18" t="str">
        <f t="shared" si="1"/>
        <v/>
      </c>
      <c r="C20" s="18" t="str">
        <f>Colleurs!$C$2</f>
        <v>M. Villéger</v>
      </c>
      <c r="D20" s="18" t="str">
        <f t="shared" si="2"/>
        <v/>
      </c>
      <c r="E20" s="18" t="str">
        <f>'Colleurs V2'!$M$1</f>
        <v>Mathématiques</v>
      </c>
      <c r="F20" s="18" t="str">
        <f t="shared" si="3"/>
        <v/>
      </c>
      <c r="G20" s="18" t="str">
        <f>'Colleurs V2'!$M$2</f>
        <v>M. Villéger</v>
      </c>
      <c r="H20" s="18" t="str">
        <f t="shared" si="4"/>
        <v/>
      </c>
      <c r="I20" s="18" t="str">
        <f t="shared" si="7"/>
        <v>Physique</v>
      </c>
      <c r="J20" s="16">
        <v>3.0</v>
      </c>
      <c r="K20" s="18" t="s">
        <v>38</v>
      </c>
      <c r="L20" s="16">
        <v>0.0</v>
      </c>
      <c r="M20" s="16">
        <v>17.0</v>
      </c>
      <c r="N20" s="4" t="s">
        <v>39</v>
      </c>
    </row>
    <row r="21">
      <c r="A21" s="18" t="str">
        <f>Colleurs!$C$1</f>
        <v>Mathématiques</v>
      </c>
      <c r="B21" s="18" t="str">
        <f t="shared" si="1"/>
        <v/>
      </c>
      <c r="C21" s="18" t="str">
        <f>Colleurs!$C$2</f>
        <v>M. Villéger</v>
      </c>
      <c r="D21" s="18" t="str">
        <f t="shared" si="2"/>
        <v/>
      </c>
      <c r="E21" s="18" t="str">
        <f>'Colleurs V2'!$M$1</f>
        <v>Mathématiques</v>
      </c>
      <c r="F21" s="18" t="str">
        <f t="shared" si="3"/>
        <v/>
      </c>
      <c r="G21" s="18" t="str">
        <f>'Colleurs V2'!$M$2</f>
        <v>M. Villéger</v>
      </c>
      <c r="H21" s="18" t="str">
        <f t="shared" si="4"/>
        <v/>
      </c>
      <c r="I21" s="18" t="str">
        <f t="shared" si="7"/>
        <v>Physique</v>
      </c>
      <c r="J21" s="16">
        <v>4.0</v>
      </c>
      <c r="K21" s="18" t="s">
        <v>38</v>
      </c>
      <c r="L21" s="16">
        <v>3.0</v>
      </c>
      <c r="M21" s="16">
        <v>12.0</v>
      </c>
      <c r="N21" s="4" t="s">
        <v>127</v>
      </c>
    </row>
    <row r="22">
      <c r="A22" s="18" t="str">
        <f>Colleurs!$C$1</f>
        <v>Mathématiques</v>
      </c>
      <c r="B22" s="18" t="str">
        <f t="shared" si="1"/>
        <v/>
      </c>
      <c r="C22" s="18" t="str">
        <f>Colleurs!$C$2</f>
        <v>M. Villéger</v>
      </c>
      <c r="D22" s="18" t="str">
        <f t="shared" si="2"/>
        <v/>
      </c>
      <c r="E22" s="18" t="str">
        <f>'Colleurs V2'!$M$1</f>
        <v>Mathématiques</v>
      </c>
      <c r="F22" s="18" t="str">
        <f t="shared" si="3"/>
        <v/>
      </c>
      <c r="G22" s="18" t="str">
        <f>'Colleurs V2'!$M$2</f>
        <v>M. Villéger</v>
      </c>
      <c r="H22" s="18" t="str">
        <f t="shared" si="4"/>
        <v/>
      </c>
      <c r="I22" s="18" t="str">
        <f t="shared" si="7"/>
        <v>Physique</v>
      </c>
      <c r="J22" s="16">
        <v>5.0</v>
      </c>
      <c r="K22" s="18" t="s">
        <v>143</v>
      </c>
      <c r="L22" s="16">
        <v>3.0</v>
      </c>
      <c r="M22" s="16">
        <v>16.0</v>
      </c>
      <c r="N22" s="4" t="s">
        <v>137</v>
      </c>
    </row>
    <row r="23">
      <c r="A23" s="18" t="str">
        <f>Colleurs!$C$1</f>
        <v>Mathématiques</v>
      </c>
      <c r="B23" s="18" t="str">
        <f t="shared" si="1"/>
        <v/>
      </c>
      <c r="C23" s="18" t="str">
        <f>Colleurs!$C$2</f>
        <v>M. Villéger</v>
      </c>
      <c r="D23" s="18" t="str">
        <f t="shared" si="2"/>
        <v/>
      </c>
      <c r="E23" s="18" t="str">
        <f>'Colleurs V2'!$M$1</f>
        <v>Mathématiques</v>
      </c>
      <c r="F23" s="18" t="str">
        <f t="shared" si="3"/>
        <v/>
      </c>
      <c r="G23" s="18" t="str">
        <f>'Colleurs V2'!$M$2</f>
        <v>M. Villéger</v>
      </c>
      <c r="H23" s="18" t="str">
        <f t="shared" si="4"/>
        <v/>
      </c>
      <c r="I23" s="18" t="str">
        <f t="shared" si="7"/>
        <v>Physique</v>
      </c>
      <c r="J23" s="16">
        <v>6.0</v>
      </c>
      <c r="K23" s="18" t="s">
        <v>144</v>
      </c>
      <c r="L23" s="16">
        <v>3.0</v>
      </c>
      <c r="M23" s="16">
        <v>15.0</v>
      </c>
      <c r="N23" s="4" t="s">
        <v>43</v>
      </c>
    </row>
    <row r="24">
      <c r="A24" s="18" t="str">
        <f>Colleurs!$C$1</f>
        <v>Mathématiques</v>
      </c>
      <c r="B24" s="18" t="str">
        <f t="shared" si="1"/>
        <v/>
      </c>
      <c r="C24" s="18" t="str">
        <f>Colleurs!$C$2</f>
        <v>M. Villéger</v>
      </c>
      <c r="D24" s="18" t="str">
        <f t="shared" si="2"/>
        <v/>
      </c>
      <c r="E24" s="18" t="str">
        <f>'Colleurs V2'!$M$1</f>
        <v>Mathématiques</v>
      </c>
      <c r="F24" s="18" t="str">
        <f t="shared" si="3"/>
        <v/>
      </c>
      <c r="G24" s="18" t="str">
        <f>'Colleurs V2'!$M$2</f>
        <v>M. Villéger</v>
      </c>
      <c r="H24" s="18" t="str">
        <f t="shared" si="4"/>
        <v/>
      </c>
      <c r="I24" s="18" t="str">
        <f t="shared" si="7"/>
        <v>Physique</v>
      </c>
      <c r="J24" s="16">
        <v>7.0</v>
      </c>
      <c r="K24" s="18" t="s">
        <v>144</v>
      </c>
      <c r="L24" s="16">
        <v>3.0</v>
      </c>
      <c r="M24" s="16">
        <v>16.0</v>
      </c>
      <c r="N24" s="4" t="s">
        <v>43</v>
      </c>
    </row>
    <row r="25">
      <c r="A25" s="18" t="str">
        <f>Colleurs!$C$1</f>
        <v>Mathématiques</v>
      </c>
      <c r="B25" s="18" t="str">
        <f t="shared" si="1"/>
        <v/>
      </c>
      <c r="C25" s="18" t="str">
        <f>Colleurs!$C$2</f>
        <v>M. Villéger</v>
      </c>
      <c r="D25" s="18" t="str">
        <f t="shared" si="2"/>
        <v/>
      </c>
      <c r="E25" s="18" t="str">
        <f>'Colleurs V2'!$M$1</f>
        <v>Mathématiques</v>
      </c>
      <c r="F25" s="18" t="str">
        <f t="shared" si="3"/>
        <v/>
      </c>
      <c r="G25" s="18" t="str">
        <f>'Colleurs V2'!$M$2</f>
        <v>M. Villéger</v>
      </c>
      <c r="H25" s="18" t="str">
        <f t="shared" si="4"/>
        <v/>
      </c>
      <c r="I25" s="18" t="str">
        <f t="shared" si="7"/>
        <v>Physique</v>
      </c>
      <c r="J25" s="16">
        <v>8.0</v>
      </c>
      <c r="K25" s="18" t="s">
        <v>145</v>
      </c>
      <c r="L25" s="16">
        <v>2.0</v>
      </c>
      <c r="M25" s="16">
        <v>16.0</v>
      </c>
      <c r="N25" s="4" t="s">
        <v>139</v>
      </c>
    </row>
    <row r="26">
      <c r="A26" s="18" t="str">
        <f>Colleurs!$C$1</f>
        <v>Mathématiques</v>
      </c>
      <c r="B26" s="18" t="str">
        <f t="shared" si="1"/>
        <v/>
      </c>
      <c r="C26" s="18" t="str">
        <f>Colleurs!$C$2</f>
        <v>M. Villéger</v>
      </c>
      <c r="D26" s="18" t="str">
        <f t="shared" si="2"/>
        <v/>
      </c>
      <c r="E26" s="18" t="str">
        <f>'Colleurs V2'!$M$1</f>
        <v>Mathématiques</v>
      </c>
      <c r="F26" s="18" t="str">
        <f t="shared" si="3"/>
        <v/>
      </c>
      <c r="G26" s="18" t="str">
        <f>'Colleurs V2'!$M$2</f>
        <v>M. Villéger</v>
      </c>
      <c r="H26" s="18" t="str">
        <f t="shared" si="4"/>
        <v/>
      </c>
      <c r="I26" s="18" t="s">
        <v>41</v>
      </c>
      <c r="J26" s="16">
        <v>1.0</v>
      </c>
      <c r="K26" s="18" t="s">
        <v>146</v>
      </c>
      <c r="L26" s="16">
        <v>1.0</v>
      </c>
      <c r="M26" s="16">
        <v>17.0</v>
      </c>
      <c r="N26" s="4" t="s">
        <v>127</v>
      </c>
    </row>
    <row r="27">
      <c r="A27" s="18" t="str">
        <f>Colleurs!$C$1</f>
        <v>Mathématiques</v>
      </c>
      <c r="B27" s="18" t="str">
        <f t="shared" si="1"/>
        <v/>
      </c>
      <c r="C27" s="18" t="str">
        <f>Colleurs!$C$2</f>
        <v>M. Villéger</v>
      </c>
      <c r="D27" s="18" t="str">
        <f t="shared" si="2"/>
        <v/>
      </c>
      <c r="E27" s="18" t="str">
        <f>'Colleurs V2'!$M$1</f>
        <v>Mathématiques</v>
      </c>
      <c r="F27" s="18" t="str">
        <f t="shared" si="3"/>
        <v/>
      </c>
      <c r="G27" s="18" t="str">
        <f>'Colleurs V2'!$M$2</f>
        <v>M. Villéger</v>
      </c>
      <c r="H27" s="18" t="str">
        <f t="shared" si="4"/>
        <v/>
      </c>
      <c r="I27" s="18" t="str">
        <f t="shared" ref="I27:I33" si="8">I26</f>
        <v>Chimie</v>
      </c>
      <c r="J27" s="16">
        <v>2.0</v>
      </c>
      <c r="K27" s="18" t="s">
        <v>146</v>
      </c>
      <c r="L27" s="16">
        <v>1.0</v>
      </c>
      <c r="M27" s="16">
        <v>18.0</v>
      </c>
      <c r="N27" s="4" t="s">
        <v>127</v>
      </c>
    </row>
    <row r="28">
      <c r="A28" s="18" t="str">
        <f>Colleurs!$C$1</f>
        <v>Mathématiques</v>
      </c>
      <c r="B28" s="18" t="str">
        <f t="shared" si="1"/>
        <v/>
      </c>
      <c r="C28" s="18" t="str">
        <f>Colleurs!$C$2</f>
        <v>M. Villéger</v>
      </c>
      <c r="D28" s="18" t="str">
        <f t="shared" si="2"/>
        <v/>
      </c>
      <c r="E28" s="18" t="str">
        <f>'Colleurs V2'!$M$1</f>
        <v>Mathématiques</v>
      </c>
      <c r="F28" s="18" t="str">
        <f t="shared" si="3"/>
        <v/>
      </c>
      <c r="G28" s="18" t="str">
        <f>'Colleurs V2'!$M$2</f>
        <v>M. Villéger</v>
      </c>
      <c r="H28" s="18" t="str">
        <f t="shared" si="4"/>
        <v/>
      </c>
      <c r="I28" s="18" t="str">
        <f t="shared" si="8"/>
        <v>Chimie</v>
      </c>
      <c r="J28" s="16">
        <v>3.0</v>
      </c>
      <c r="K28" s="18" t="s">
        <v>42</v>
      </c>
      <c r="L28" s="16">
        <v>3.0</v>
      </c>
      <c r="M28" s="16">
        <v>14.0</v>
      </c>
      <c r="N28" s="4" t="s">
        <v>43</v>
      </c>
    </row>
    <row r="29">
      <c r="A29" s="18" t="str">
        <f>Colleurs!$C$1</f>
        <v>Mathématiques</v>
      </c>
      <c r="B29" s="18" t="str">
        <f t="shared" si="1"/>
        <v/>
      </c>
      <c r="C29" s="18" t="str">
        <f>Colleurs!$C$2</f>
        <v>M. Villéger</v>
      </c>
      <c r="D29" s="18" t="str">
        <f t="shared" si="2"/>
        <v/>
      </c>
      <c r="E29" s="18" t="str">
        <f>'Colleurs V2'!$M$1</f>
        <v>Mathématiques</v>
      </c>
      <c r="F29" s="18" t="str">
        <f t="shared" si="3"/>
        <v/>
      </c>
      <c r="G29" s="18" t="str">
        <f>'Colleurs V2'!$M$2</f>
        <v>M. Villéger</v>
      </c>
      <c r="H29" s="18" t="str">
        <f t="shared" si="4"/>
        <v/>
      </c>
      <c r="I29" s="18" t="str">
        <f t="shared" si="8"/>
        <v>Chimie</v>
      </c>
      <c r="J29" s="16">
        <v>4.0</v>
      </c>
      <c r="K29" s="18" t="s">
        <v>147</v>
      </c>
      <c r="L29" s="16">
        <v>4.0</v>
      </c>
      <c r="M29" s="16">
        <v>16.0</v>
      </c>
      <c r="N29" s="4" t="s">
        <v>137</v>
      </c>
    </row>
    <row r="30">
      <c r="A30" s="18" t="str">
        <f>Colleurs!$C$1</f>
        <v>Mathématiques</v>
      </c>
      <c r="B30" s="18" t="str">
        <f t="shared" si="1"/>
        <v/>
      </c>
      <c r="C30" s="18" t="str">
        <f>Colleurs!$C$2</f>
        <v>M. Villéger</v>
      </c>
      <c r="D30" s="18" t="str">
        <f t="shared" si="2"/>
        <v/>
      </c>
      <c r="E30" s="18" t="str">
        <f>'Colleurs V2'!$M$1</f>
        <v>Mathématiques</v>
      </c>
      <c r="F30" s="18" t="str">
        <f t="shared" si="3"/>
        <v/>
      </c>
      <c r="G30" s="18" t="str">
        <f>'Colleurs V2'!$M$2</f>
        <v>M. Villéger</v>
      </c>
      <c r="H30" s="18" t="str">
        <f t="shared" si="4"/>
        <v/>
      </c>
      <c r="I30" s="18" t="str">
        <f t="shared" si="8"/>
        <v>Chimie</v>
      </c>
      <c r="J30" s="16">
        <v>5.0</v>
      </c>
      <c r="K30" s="18" t="s">
        <v>147</v>
      </c>
      <c r="L30" s="16">
        <v>4.0</v>
      </c>
      <c r="M30" s="16">
        <v>18.0</v>
      </c>
      <c r="N30" s="4" t="s">
        <v>137</v>
      </c>
    </row>
    <row r="31">
      <c r="A31" s="18" t="str">
        <f>Colleurs!$C$1</f>
        <v>Mathématiques</v>
      </c>
      <c r="B31" s="18" t="str">
        <f t="shared" si="1"/>
        <v/>
      </c>
      <c r="C31" s="18" t="str">
        <f>Colleurs!$C$2</f>
        <v>M. Villéger</v>
      </c>
      <c r="D31" s="18" t="str">
        <f t="shared" si="2"/>
        <v/>
      </c>
      <c r="E31" s="18" t="str">
        <f>'Colleurs V2'!$M$1</f>
        <v>Mathématiques</v>
      </c>
      <c r="F31" s="18" t="str">
        <f t="shared" si="3"/>
        <v/>
      </c>
      <c r="G31" s="18" t="str">
        <f>'Colleurs V2'!$M$2</f>
        <v>M. Villéger</v>
      </c>
      <c r="H31" s="18" t="str">
        <f t="shared" si="4"/>
        <v/>
      </c>
      <c r="I31" s="18" t="str">
        <f t="shared" si="8"/>
        <v>Chimie</v>
      </c>
      <c r="J31" s="16">
        <v>6.0</v>
      </c>
      <c r="K31" s="18" t="s">
        <v>148</v>
      </c>
      <c r="L31" s="16">
        <v>4.0</v>
      </c>
      <c r="M31" s="16">
        <v>16.0</v>
      </c>
      <c r="N31" s="4" t="s">
        <v>149</v>
      </c>
    </row>
    <row r="32">
      <c r="A32" s="18" t="str">
        <f>Colleurs!$C$1</f>
        <v>Mathématiques</v>
      </c>
      <c r="B32" s="18" t="str">
        <f t="shared" si="1"/>
        <v/>
      </c>
      <c r="C32" s="18" t="str">
        <f>Colleurs!$C$2</f>
        <v>M. Villéger</v>
      </c>
      <c r="D32" s="18" t="str">
        <f t="shared" si="2"/>
        <v/>
      </c>
      <c r="E32" s="18" t="str">
        <f>'Colleurs V2'!$M$1</f>
        <v>Mathématiques</v>
      </c>
      <c r="F32" s="18" t="str">
        <f t="shared" si="3"/>
        <v/>
      </c>
      <c r="G32" s="18" t="str">
        <f>'Colleurs V2'!$M$2</f>
        <v>M. Villéger</v>
      </c>
      <c r="H32" s="18" t="str">
        <f t="shared" si="4"/>
        <v/>
      </c>
      <c r="I32" s="18" t="str">
        <f t="shared" si="8"/>
        <v>Chimie</v>
      </c>
      <c r="J32" s="16">
        <v>7.0</v>
      </c>
      <c r="K32" s="18" t="s">
        <v>150</v>
      </c>
      <c r="L32" s="16">
        <v>4.0</v>
      </c>
      <c r="M32" s="16">
        <v>16.0</v>
      </c>
      <c r="N32" s="4" t="s">
        <v>135</v>
      </c>
    </row>
    <row r="33">
      <c r="A33" s="18" t="str">
        <f>Colleurs!$C$1</f>
        <v>Mathématiques</v>
      </c>
      <c r="B33" s="18" t="str">
        <f t="shared" si="1"/>
        <v/>
      </c>
      <c r="C33" s="18" t="str">
        <f>Colleurs!$C$2</f>
        <v>M. Villéger</v>
      </c>
      <c r="D33" s="18" t="str">
        <f t="shared" si="2"/>
        <v/>
      </c>
      <c r="E33" s="18" t="str">
        <f>'Colleurs V2'!$M$1</f>
        <v>Mathématiques</v>
      </c>
      <c r="F33" s="18" t="str">
        <f t="shared" si="3"/>
        <v/>
      </c>
      <c r="G33" s="18" t="str">
        <f>'Colleurs V2'!$M$2</f>
        <v>M. Villéger</v>
      </c>
      <c r="H33" s="18" t="str">
        <f t="shared" si="4"/>
        <v/>
      </c>
      <c r="I33" s="18" t="str">
        <f t="shared" si="8"/>
        <v>Chimie</v>
      </c>
      <c r="J33" s="16">
        <v>8.0</v>
      </c>
      <c r="K33" s="18" t="s">
        <v>151</v>
      </c>
      <c r="L33" s="16">
        <v>2.0</v>
      </c>
      <c r="M33" s="16">
        <v>18.0</v>
      </c>
      <c r="N33" s="4" t="s">
        <v>152</v>
      </c>
    </row>
    <row r="34">
      <c r="A34" s="18" t="str">
        <f>Colleurs!$C$1</f>
        <v>Mathématiques</v>
      </c>
      <c r="B34" s="18" t="str">
        <f t="shared" si="1"/>
        <v/>
      </c>
      <c r="C34" s="18" t="str">
        <f>Colleurs!$C$2</f>
        <v>M. Villéger</v>
      </c>
      <c r="D34" s="18" t="str">
        <f t="shared" si="2"/>
        <v/>
      </c>
      <c r="E34" s="18" t="str">
        <f>'Colleurs V2'!$M$1</f>
        <v>Mathématiques</v>
      </c>
      <c r="F34" s="18" t="str">
        <f t="shared" si="3"/>
        <v/>
      </c>
      <c r="G34" s="18" t="str">
        <f>'Colleurs V2'!$M$2</f>
        <v>M. Villéger</v>
      </c>
      <c r="H34" s="18" t="str">
        <f t="shared" si="4"/>
        <v/>
      </c>
      <c r="I34" s="18" t="s">
        <v>22</v>
      </c>
      <c r="J34" s="16">
        <v>1.0</v>
      </c>
      <c r="K34" s="18" t="s">
        <v>153</v>
      </c>
      <c r="L34" s="16">
        <v>0.0</v>
      </c>
      <c r="M34" s="16">
        <v>16.0</v>
      </c>
      <c r="N34" s="4" t="s">
        <v>154</v>
      </c>
    </row>
    <row r="35">
      <c r="A35" s="18" t="str">
        <f>Colleurs!$C$1</f>
        <v>Mathématiques</v>
      </c>
      <c r="B35" s="18" t="str">
        <f t="shared" si="1"/>
        <v/>
      </c>
      <c r="C35" s="18" t="str">
        <f>Colleurs!$C$2</f>
        <v>M. Villéger</v>
      </c>
      <c r="D35" s="18" t="str">
        <f t="shared" si="2"/>
        <v/>
      </c>
      <c r="E35" s="18" t="str">
        <f>'Colleurs V2'!$M$1</f>
        <v>Mathématiques</v>
      </c>
      <c r="F35" s="18" t="str">
        <f t="shared" si="3"/>
        <v/>
      </c>
      <c r="G35" s="18" t="str">
        <f>'Colleurs V2'!$M$2</f>
        <v>M. Villéger</v>
      </c>
      <c r="H35" s="18" t="str">
        <f t="shared" si="4"/>
        <v/>
      </c>
      <c r="I35" s="18" t="str">
        <f t="shared" ref="I35:I37" si="9">I34</f>
        <v>SI</v>
      </c>
      <c r="J35" s="16">
        <v>2.0</v>
      </c>
      <c r="K35" s="18" t="s">
        <v>153</v>
      </c>
      <c r="L35" s="16">
        <v>0.0</v>
      </c>
      <c r="M35" s="16">
        <v>17.0</v>
      </c>
      <c r="N35" s="4" t="s">
        <v>154</v>
      </c>
    </row>
    <row r="36">
      <c r="A36" s="18" t="str">
        <f>Colleurs!$C$1</f>
        <v>Mathématiques</v>
      </c>
      <c r="B36" s="18" t="str">
        <f t="shared" si="1"/>
        <v/>
      </c>
      <c r="C36" s="18" t="str">
        <f>Colleurs!$C$2</f>
        <v>M. Villéger</v>
      </c>
      <c r="D36" s="18" t="str">
        <f t="shared" si="2"/>
        <v/>
      </c>
      <c r="E36" s="18" t="str">
        <f>'Colleurs V2'!$M$1</f>
        <v>Mathématiques</v>
      </c>
      <c r="F36" s="18" t="str">
        <f t="shared" si="3"/>
        <v/>
      </c>
      <c r="G36" s="18" t="str">
        <f>'Colleurs V2'!$M$2</f>
        <v>M. Villéger</v>
      </c>
      <c r="H36" s="18" t="str">
        <f t="shared" si="4"/>
        <v/>
      </c>
      <c r="I36" s="18" t="str">
        <f t="shared" si="9"/>
        <v>SI</v>
      </c>
      <c r="J36" s="16">
        <v>3.0</v>
      </c>
      <c r="K36" s="18" t="s">
        <v>155</v>
      </c>
      <c r="L36" s="16">
        <v>0.0</v>
      </c>
      <c r="M36" s="16">
        <v>17.0</v>
      </c>
      <c r="N36" s="4" t="s">
        <v>156</v>
      </c>
    </row>
    <row r="37">
      <c r="A37" s="18" t="str">
        <f>Colleurs!$C$1</f>
        <v>Mathématiques</v>
      </c>
      <c r="B37" s="18" t="str">
        <f t="shared" si="1"/>
        <v/>
      </c>
      <c r="C37" s="18" t="str">
        <f>Colleurs!$C$2</f>
        <v>M. Villéger</v>
      </c>
      <c r="D37" s="18" t="str">
        <f t="shared" si="2"/>
        <v/>
      </c>
      <c r="E37" s="18" t="str">
        <f>'Colleurs V2'!$M$1</f>
        <v>Mathématiques</v>
      </c>
      <c r="F37" s="18" t="str">
        <f t="shared" si="3"/>
        <v/>
      </c>
      <c r="G37" s="18" t="str">
        <f>'Colleurs V2'!$M$2</f>
        <v>M. Villéger</v>
      </c>
      <c r="H37" s="18" t="str">
        <f t="shared" si="4"/>
        <v/>
      </c>
      <c r="I37" s="18" t="str">
        <f t="shared" si="9"/>
        <v>SI</v>
      </c>
      <c r="J37" s="16">
        <v>4.0</v>
      </c>
      <c r="K37" s="18" t="s">
        <v>157</v>
      </c>
      <c r="L37" s="16">
        <v>0.0</v>
      </c>
      <c r="M37" s="16">
        <v>16.0</v>
      </c>
      <c r="N37" s="4" t="s">
        <v>127</v>
      </c>
    </row>
    <row r="38">
      <c r="A38" s="18" t="str">
        <f>Colleurs!$C$1</f>
        <v>Mathématiques</v>
      </c>
      <c r="B38" s="18" t="str">
        <f t="shared" si="1"/>
        <v/>
      </c>
      <c r="C38" s="18" t="str">
        <f>Colleurs!$C$2</f>
        <v>M. Villéger</v>
      </c>
      <c r="D38" s="18" t="str">
        <f t="shared" si="2"/>
        <v/>
      </c>
      <c r="E38" s="18" t="str">
        <f>'Colleurs V2'!$M$1</f>
        <v>Mathématiques</v>
      </c>
      <c r="F38" s="18" t="str">
        <f t="shared" si="3"/>
        <v/>
      </c>
      <c r="G38" s="18" t="str">
        <f>'Colleurs V2'!$M$2</f>
        <v>M. Villéger</v>
      </c>
      <c r="H38" s="18" t="str">
        <f t="shared" si="4"/>
        <v/>
      </c>
      <c r="I38" s="18" t="s">
        <v>125</v>
      </c>
      <c r="J38" s="16">
        <v>1.0</v>
      </c>
      <c r="K38" s="18" t="s">
        <v>158</v>
      </c>
      <c r="L38" s="16">
        <v>4.0</v>
      </c>
      <c r="M38" s="16">
        <v>16.0</v>
      </c>
      <c r="N38" s="4" t="s">
        <v>129</v>
      </c>
    </row>
    <row r="39">
      <c r="A39" s="18" t="str">
        <f>Colleurs!$C$1</f>
        <v>Mathématiques</v>
      </c>
      <c r="B39" s="18" t="str">
        <f t="shared" si="1"/>
        <v/>
      </c>
      <c r="C39" s="18" t="str">
        <f>Colleurs!$C$2</f>
        <v>M. Villéger</v>
      </c>
      <c r="D39" s="18" t="str">
        <f t="shared" si="2"/>
        <v/>
      </c>
      <c r="E39" s="18" t="str">
        <f>'Colleurs V2'!$M$1</f>
        <v>Mathématiques</v>
      </c>
      <c r="F39" s="18" t="str">
        <f t="shared" si="3"/>
        <v/>
      </c>
      <c r="G39" s="18" t="str">
        <f>'Colleurs V2'!$M$2</f>
        <v>M. Villéger</v>
      </c>
      <c r="H39" s="18" t="str">
        <f t="shared" si="4"/>
        <v/>
      </c>
      <c r="I39" s="18" t="str">
        <f>I38</f>
        <v>Français</v>
      </c>
      <c r="J39" s="16">
        <v>2.0</v>
      </c>
      <c r="K39" s="18" t="s">
        <v>158</v>
      </c>
      <c r="L39" s="16">
        <v>4.0</v>
      </c>
      <c r="M39" s="16">
        <v>17.0</v>
      </c>
      <c r="N39" s="4" t="s">
        <v>129</v>
      </c>
    </row>
    <row r="40">
      <c r="A40" s="6"/>
      <c r="B40" s="6"/>
      <c r="C40" s="6"/>
      <c r="D40" s="6"/>
      <c r="E40" s="6"/>
      <c r="F40" s="6"/>
      <c r="G40" s="6"/>
      <c r="H40" s="6"/>
      <c r="I40" s="6"/>
    </row>
    <row r="41">
      <c r="A41" s="6"/>
      <c r="B41" s="6"/>
      <c r="C41" s="6"/>
      <c r="D41" s="6"/>
      <c r="E41" s="6"/>
      <c r="F41" s="6"/>
      <c r="G41" s="6"/>
      <c r="H41" s="6"/>
      <c r="I41" s="6"/>
    </row>
    <row r="42">
      <c r="A42" s="6"/>
      <c r="B42" s="6"/>
      <c r="C42" s="6"/>
      <c r="D42" s="6"/>
      <c r="E42" s="6"/>
      <c r="F42" s="6"/>
      <c r="G42" s="6"/>
      <c r="H42" s="6"/>
      <c r="I42" s="6"/>
    </row>
    <row r="43">
      <c r="A43" s="6"/>
      <c r="B43" s="6"/>
      <c r="C43" s="6"/>
      <c r="D43" s="6"/>
      <c r="E43" s="6"/>
      <c r="F43" s="6"/>
      <c r="G43" s="6"/>
      <c r="H43" s="6"/>
      <c r="I43" s="6"/>
    </row>
    <row r="44">
      <c r="A44" s="6"/>
      <c r="B44" s="6"/>
      <c r="C44" s="6"/>
      <c r="D44" s="6"/>
      <c r="E44" s="6"/>
      <c r="F44" s="6"/>
      <c r="G44" s="6"/>
      <c r="H44" s="6"/>
      <c r="I44" s="6"/>
    </row>
    <row r="45">
      <c r="A45" s="6"/>
      <c r="B45" s="6"/>
      <c r="C45" s="6"/>
      <c r="D45" s="6"/>
      <c r="E45" s="6"/>
      <c r="F45" s="6"/>
      <c r="G45" s="6"/>
      <c r="H45" s="6"/>
      <c r="I45" s="6"/>
    </row>
    <row r="46">
      <c r="A46" s="6"/>
      <c r="B46" s="6"/>
      <c r="C46" s="6"/>
      <c r="D46" s="6"/>
      <c r="E46" s="6"/>
      <c r="F46" s="6"/>
      <c r="G46" s="6"/>
      <c r="H46" s="6"/>
      <c r="I46" s="6"/>
    </row>
    <row r="47">
      <c r="A47" s="6"/>
      <c r="B47" s="6"/>
      <c r="C47" s="6"/>
      <c r="D47" s="6"/>
      <c r="E47" s="6"/>
      <c r="F47" s="6"/>
      <c r="G47" s="6"/>
      <c r="H47" s="6"/>
      <c r="I47" s="6"/>
    </row>
    <row r="48">
      <c r="A48" s="6"/>
      <c r="B48" s="6"/>
      <c r="C48" s="6"/>
      <c r="D48" s="6"/>
      <c r="E48" s="6"/>
      <c r="F48" s="6"/>
      <c r="G48" s="6"/>
      <c r="H48" s="6"/>
      <c r="I48" s="6"/>
    </row>
    <row r="49">
      <c r="A49" s="6"/>
      <c r="B49" s="6"/>
      <c r="C49" s="6"/>
      <c r="D49" s="6"/>
      <c r="E49" s="6"/>
      <c r="F49" s="6"/>
      <c r="G49" s="6"/>
      <c r="H49" s="6"/>
      <c r="I49" s="6"/>
    </row>
    <row r="50">
      <c r="A50" s="6"/>
      <c r="B50" s="6"/>
      <c r="C50" s="6"/>
      <c r="D50" s="6"/>
      <c r="E50" s="6"/>
      <c r="F50" s="6"/>
      <c r="G50" s="6"/>
      <c r="H50" s="6"/>
      <c r="I50" s="6"/>
    </row>
    <row r="51">
      <c r="A51" s="6"/>
      <c r="B51" s="6"/>
      <c r="C51" s="6"/>
      <c r="D51" s="6"/>
      <c r="E51" s="6"/>
      <c r="F51" s="6"/>
      <c r="G51" s="6"/>
      <c r="H51" s="6"/>
      <c r="I51" s="6"/>
    </row>
    <row r="52">
      <c r="A52" s="6"/>
      <c r="B52" s="6"/>
      <c r="C52" s="6"/>
      <c r="D52" s="6"/>
      <c r="E52" s="6"/>
      <c r="F52" s="6"/>
      <c r="G52" s="6"/>
      <c r="H52" s="6"/>
      <c r="I52" s="6"/>
    </row>
    <row r="53">
      <c r="A53" s="6"/>
      <c r="B53" s="6"/>
      <c r="C53" s="6"/>
      <c r="D53" s="6"/>
      <c r="E53" s="6"/>
      <c r="F53" s="6"/>
      <c r="G53" s="6"/>
      <c r="H53" s="6"/>
      <c r="I53" s="6"/>
    </row>
    <row r="54">
      <c r="A54" s="6"/>
      <c r="B54" s="6"/>
      <c r="C54" s="6"/>
      <c r="D54" s="6"/>
      <c r="E54" s="6"/>
      <c r="F54" s="6"/>
      <c r="G54" s="6"/>
      <c r="H54" s="6"/>
      <c r="I54" s="6"/>
    </row>
    <row r="55">
      <c r="A55" s="6"/>
      <c r="B55" s="6"/>
      <c r="C55" s="6"/>
      <c r="D55" s="6"/>
      <c r="E55" s="6"/>
      <c r="F55" s="6"/>
      <c r="G55" s="6"/>
      <c r="H55" s="6"/>
      <c r="I55" s="6"/>
    </row>
    <row r="56">
      <c r="A56" s="6"/>
      <c r="B56" s="6"/>
      <c r="C56" s="6"/>
      <c r="D56" s="6"/>
      <c r="E56" s="6"/>
      <c r="F56" s="6"/>
      <c r="G56" s="6"/>
      <c r="H56" s="6"/>
      <c r="I56" s="6"/>
    </row>
    <row r="57">
      <c r="A57" s="6"/>
      <c r="B57" s="6"/>
      <c r="C57" s="6"/>
      <c r="D57" s="6"/>
      <c r="E57" s="6"/>
      <c r="F57" s="6"/>
      <c r="G57" s="6"/>
      <c r="H57" s="6"/>
      <c r="I57" s="6"/>
    </row>
    <row r="58">
      <c r="A58" s="6"/>
      <c r="B58" s="6"/>
      <c r="C58" s="6"/>
      <c r="D58" s="6"/>
      <c r="E58" s="6"/>
      <c r="F58" s="6"/>
      <c r="G58" s="6"/>
      <c r="H58" s="6"/>
      <c r="I58" s="6"/>
    </row>
    <row r="59">
      <c r="A59" s="6"/>
      <c r="B59" s="6"/>
      <c r="C59" s="6"/>
      <c r="D59" s="6"/>
      <c r="E59" s="6"/>
      <c r="F59" s="6"/>
      <c r="G59" s="6"/>
      <c r="H59" s="6"/>
      <c r="I59" s="6"/>
    </row>
    <row r="60">
      <c r="A60" s="6"/>
      <c r="B60" s="6"/>
      <c r="C60" s="6"/>
      <c r="D60" s="6"/>
      <c r="E60" s="6"/>
      <c r="F60" s="6"/>
      <c r="G60" s="6"/>
      <c r="H60" s="6"/>
      <c r="I60" s="6"/>
    </row>
    <row r="61">
      <c r="A61" s="6"/>
      <c r="B61" s="6"/>
      <c r="C61" s="6"/>
      <c r="D61" s="6"/>
      <c r="E61" s="6"/>
      <c r="F61" s="6"/>
      <c r="G61" s="6"/>
      <c r="H61" s="6"/>
      <c r="I61" s="6"/>
    </row>
    <row r="62">
      <c r="A62" s="6"/>
      <c r="B62" s="6"/>
      <c r="C62" s="6"/>
      <c r="D62" s="6"/>
      <c r="E62" s="6"/>
      <c r="F62" s="6"/>
      <c r="G62" s="6"/>
      <c r="H62" s="6"/>
      <c r="I62" s="6"/>
    </row>
    <row r="63">
      <c r="A63" s="6"/>
      <c r="B63" s="6"/>
      <c r="C63" s="6"/>
      <c r="D63" s="6"/>
      <c r="E63" s="6"/>
      <c r="F63" s="6"/>
      <c r="G63" s="6"/>
      <c r="H63" s="6"/>
      <c r="I63" s="6"/>
    </row>
    <row r="64">
      <c r="A64" s="6"/>
      <c r="B64" s="6"/>
      <c r="C64" s="6"/>
      <c r="D64" s="6"/>
      <c r="E64" s="6"/>
      <c r="F64" s="6"/>
      <c r="G64" s="6"/>
      <c r="H64" s="6"/>
      <c r="I64" s="6"/>
    </row>
    <row r="65">
      <c r="A65" s="6"/>
      <c r="B65" s="6"/>
      <c r="C65" s="6"/>
      <c r="D65" s="6"/>
      <c r="E65" s="6"/>
      <c r="F65" s="6"/>
      <c r="G65" s="6"/>
      <c r="H65" s="6"/>
      <c r="I65" s="6"/>
    </row>
    <row r="66">
      <c r="A66" s="6"/>
      <c r="B66" s="6"/>
      <c r="C66" s="6"/>
      <c r="D66" s="6"/>
      <c r="E66" s="6"/>
      <c r="F66" s="6"/>
      <c r="G66" s="6"/>
      <c r="H66" s="6"/>
      <c r="I66" s="6"/>
    </row>
    <row r="67">
      <c r="A67" s="6"/>
      <c r="B67" s="6"/>
      <c r="C67" s="6"/>
      <c r="D67" s="6"/>
      <c r="E67" s="6"/>
      <c r="F67" s="6"/>
      <c r="G67" s="6"/>
      <c r="H67" s="6"/>
      <c r="I67" s="6"/>
    </row>
    <row r="68">
      <c r="A68" s="6"/>
      <c r="B68" s="6"/>
      <c r="C68" s="6"/>
      <c r="D68" s="6"/>
      <c r="E68" s="6"/>
      <c r="F68" s="6"/>
      <c r="G68" s="6"/>
      <c r="H68" s="6"/>
      <c r="I68" s="6"/>
    </row>
    <row r="69">
      <c r="A69" s="6"/>
      <c r="B69" s="6"/>
      <c r="C69" s="6"/>
      <c r="D69" s="6"/>
      <c r="E69" s="6"/>
      <c r="F69" s="6"/>
      <c r="G69" s="6"/>
      <c r="H69" s="6"/>
      <c r="I69" s="6"/>
    </row>
    <row r="70">
      <c r="A70" s="6"/>
      <c r="B70" s="6"/>
      <c r="C70" s="6"/>
      <c r="D70" s="6"/>
      <c r="E70" s="6"/>
      <c r="F70" s="6"/>
      <c r="G70" s="6"/>
      <c r="H70" s="6"/>
      <c r="I70" s="6"/>
    </row>
    <row r="71">
      <c r="A71" s="6"/>
      <c r="B71" s="6"/>
      <c r="C71" s="6"/>
      <c r="D71" s="6"/>
      <c r="E71" s="6"/>
      <c r="F71" s="6"/>
      <c r="G71" s="6"/>
      <c r="H71" s="6"/>
      <c r="I71" s="6"/>
    </row>
    <row r="72">
      <c r="A72" s="6"/>
      <c r="B72" s="6"/>
      <c r="C72" s="6"/>
      <c r="D72" s="6"/>
      <c r="E72" s="6"/>
      <c r="F72" s="6"/>
      <c r="G72" s="6"/>
      <c r="H72" s="6"/>
      <c r="I72" s="6"/>
    </row>
    <row r="73">
      <c r="A73" s="6"/>
      <c r="B73" s="6"/>
      <c r="C73" s="6"/>
      <c r="D73" s="6"/>
      <c r="E73" s="6"/>
      <c r="F73" s="6"/>
      <c r="G73" s="6"/>
      <c r="H73" s="6"/>
      <c r="I73" s="6"/>
    </row>
    <row r="74">
      <c r="A74" s="6"/>
      <c r="B74" s="6"/>
      <c r="C74" s="6"/>
      <c r="D74" s="6"/>
      <c r="E74" s="6"/>
      <c r="F74" s="6"/>
      <c r="G74" s="6"/>
      <c r="H74" s="6"/>
      <c r="I74" s="6"/>
    </row>
    <row r="75">
      <c r="A75" s="6"/>
      <c r="B75" s="6"/>
      <c r="C75" s="6"/>
      <c r="D75" s="6"/>
      <c r="E75" s="6"/>
      <c r="F75" s="6"/>
      <c r="G75" s="6"/>
      <c r="H75" s="6"/>
      <c r="I75" s="6"/>
    </row>
    <row r="76">
      <c r="A76" s="6"/>
      <c r="B76" s="6"/>
      <c r="C76" s="6"/>
      <c r="D76" s="6"/>
      <c r="E76" s="6"/>
      <c r="F76" s="6"/>
      <c r="G76" s="6"/>
      <c r="H76" s="6"/>
      <c r="I76" s="6"/>
    </row>
    <row r="77">
      <c r="A77" s="6"/>
      <c r="B77" s="6"/>
      <c r="C77" s="6"/>
      <c r="D77" s="6"/>
      <c r="E77" s="6"/>
      <c r="F77" s="6"/>
      <c r="G77" s="6"/>
      <c r="H77" s="6"/>
      <c r="I77" s="6"/>
    </row>
    <row r="78">
      <c r="A78" s="6"/>
      <c r="B78" s="6"/>
      <c r="C78" s="6"/>
      <c r="D78" s="6"/>
      <c r="E78" s="6"/>
      <c r="F78" s="6"/>
      <c r="G78" s="6"/>
      <c r="H78" s="6"/>
      <c r="I78" s="6"/>
    </row>
    <row r="79">
      <c r="A79" s="6"/>
      <c r="B79" s="6"/>
      <c r="C79" s="6"/>
      <c r="D79" s="6"/>
      <c r="E79" s="6"/>
      <c r="F79" s="6"/>
      <c r="G79" s="6"/>
      <c r="H79" s="6"/>
      <c r="I79" s="6"/>
    </row>
    <row r="80">
      <c r="A80" s="6"/>
      <c r="B80" s="6"/>
      <c r="C80" s="6"/>
      <c r="D80" s="6"/>
      <c r="E80" s="6"/>
      <c r="F80" s="6"/>
      <c r="G80" s="6"/>
      <c r="H80" s="6"/>
      <c r="I80" s="6"/>
    </row>
    <row r="81">
      <c r="A81" s="6"/>
      <c r="B81" s="6"/>
      <c r="C81" s="6"/>
      <c r="D81" s="6"/>
      <c r="E81" s="6"/>
      <c r="F81" s="6"/>
      <c r="G81" s="6"/>
      <c r="H81" s="6"/>
      <c r="I81" s="6"/>
    </row>
    <row r="82">
      <c r="A82" s="6"/>
      <c r="B82" s="6"/>
      <c r="C82" s="6"/>
      <c r="D82" s="6"/>
      <c r="E82" s="6"/>
      <c r="F82" s="6"/>
      <c r="G82" s="6"/>
      <c r="H82" s="6"/>
      <c r="I82" s="6"/>
    </row>
    <row r="83">
      <c r="A83" s="6"/>
      <c r="B83" s="6"/>
      <c r="C83" s="6"/>
      <c r="D83" s="6"/>
      <c r="E83" s="6"/>
      <c r="F83" s="6"/>
      <c r="G83" s="6"/>
      <c r="H83" s="6"/>
      <c r="I83" s="6"/>
    </row>
    <row r="84">
      <c r="A84" s="6"/>
      <c r="B84" s="6"/>
      <c r="C84" s="6"/>
      <c r="D84" s="6"/>
      <c r="E84" s="6"/>
      <c r="F84" s="6"/>
      <c r="G84" s="6"/>
      <c r="H84" s="6"/>
      <c r="I84" s="6"/>
    </row>
    <row r="85">
      <c r="A85" s="6"/>
      <c r="B85" s="6"/>
      <c r="C85" s="6"/>
      <c r="D85" s="6"/>
      <c r="E85" s="6"/>
      <c r="F85" s="6"/>
      <c r="G85" s="6"/>
      <c r="H85" s="6"/>
      <c r="I85" s="6"/>
    </row>
    <row r="86">
      <c r="A86" s="6"/>
      <c r="B86" s="6"/>
      <c r="C86" s="6"/>
      <c r="D86" s="6"/>
      <c r="E86" s="6"/>
      <c r="F86" s="6"/>
      <c r="G86" s="6"/>
      <c r="H86" s="6"/>
      <c r="I86" s="6"/>
    </row>
    <row r="87">
      <c r="A87" s="6"/>
      <c r="B87" s="6"/>
      <c r="C87" s="6"/>
      <c r="D87" s="6"/>
      <c r="E87" s="6"/>
      <c r="F87" s="6"/>
      <c r="G87" s="6"/>
      <c r="H87" s="6"/>
      <c r="I87" s="6"/>
    </row>
    <row r="88">
      <c r="A88" s="6"/>
      <c r="B88" s="6"/>
      <c r="C88" s="6"/>
      <c r="D88" s="6"/>
      <c r="E88" s="6"/>
      <c r="F88" s="6"/>
      <c r="G88" s="6"/>
      <c r="H88" s="6"/>
      <c r="I88" s="6"/>
    </row>
    <row r="89">
      <c r="A89" s="6"/>
      <c r="B89" s="6"/>
      <c r="C89" s="6"/>
      <c r="D89" s="6"/>
      <c r="E89" s="6"/>
      <c r="F89" s="6"/>
      <c r="G89" s="6"/>
      <c r="H89" s="6"/>
      <c r="I89" s="6"/>
    </row>
    <row r="90">
      <c r="A90" s="6"/>
      <c r="B90" s="6"/>
      <c r="C90" s="6"/>
      <c r="D90" s="6"/>
      <c r="E90" s="6"/>
      <c r="F90" s="6"/>
      <c r="G90" s="6"/>
      <c r="H90" s="6"/>
      <c r="I90" s="6"/>
    </row>
    <row r="91">
      <c r="A91" s="6"/>
      <c r="B91" s="6"/>
      <c r="C91" s="6"/>
      <c r="D91" s="6"/>
      <c r="E91" s="6"/>
      <c r="F91" s="6"/>
      <c r="G91" s="6"/>
      <c r="H91" s="6"/>
      <c r="I91" s="6"/>
    </row>
    <row r="92">
      <c r="A92" s="6"/>
      <c r="B92" s="6"/>
      <c r="C92" s="6"/>
      <c r="D92" s="6"/>
      <c r="E92" s="6"/>
      <c r="F92" s="6"/>
      <c r="G92" s="6"/>
      <c r="H92" s="6"/>
      <c r="I92" s="6"/>
    </row>
    <row r="93">
      <c r="A93" s="6"/>
      <c r="B93" s="6"/>
      <c r="C93" s="6"/>
      <c r="D93" s="6"/>
      <c r="E93" s="6"/>
      <c r="F93" s="6"/>
      <c r="G93" s="6"/>
      <c r="H93" s="6"/>
      <c r="I93" s="6"/>
    </row>
    <row r="94">
      <c r="A94" s="6"/>
      <c r="B94" s="6"/>
      <c r="C94" s="6"/>
      <c r="D94" s="6"/>
      <c r="E94" s="6"/>
      <c r="F94" s="6"/>
      <c r="G94" s="6"/>
      <c r="H94" s="6"/>
      <c r="I94" s="6"/>
    </row>
    <row r="95">
      <c r="A95" s="6"/>
      <c r="B95" s="6"/>
      <c r="C95" s="6"/>
      <c r="D95" s="6"/>
      <c r="E95" s="6"/>
      <c r="F95" s="6"/>
      <c r="G95" s="6"/>
      <c r="H95" s="6"/>
      <c r="I95" s="6"/>
    </row>
    <row r="96">
      <c r="A96" s="6"/>
      <c r="B96" s="6"/>
      <c r="C96" s="6"/>
      <c r="D96" s="6"/>
      <c r="E96" s="6"/>
      <c r="F96" s="6"/>
      <c r="G96" s="6"/>
      <c r="H96" s="6"/>
      <c r="I96" s="6"/>
    </row>
    <row r="97">
      <c r="A97" s="6"/>
      <c r="B97" s="6"/>
      <c r="C97" s="6"/>
      <c r="D97" s="6"/>
      <c r="E97" s="6"/>
      <c r="F97" s="6"/>
      <c r="G97" s="6"/>
      <c r="H97" s="6"/>
      <c r="I97" s="6"/>
    </row>
    <row r="98">
      <c r="A98" s="6"/>
      <c r="B98" s="6"/>
      <c r="C98" s="6"/>
      <c r="D98" s="6"/>
      <c r="E98" s="6"/>
      <c r="F98" s="6"/>
      <c r="G98" s="6"/>
      <c r="H98" s="6"/>
      <c r="I98" s="6"/>
    </row>
    <row r="99">
      <c r="A99" s="6"/>
      <c r="B99" s="6"/>
      <c r="C99" s="6"/>
      <c r="D99" s="6"/>
      <c r="E99" s="6"/>
      <c r="F99" s="6"/>
      <c r="G99" s="6"/>
      <c r="H99" s="6"/>
      <c r="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</row>
  </sheetData>
  <drawing r:id="rId1"/>
</worksheet>
</file>