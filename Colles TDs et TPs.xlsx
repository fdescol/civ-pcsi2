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lloscope" sheetId="1" r:id="rId5"/>
    <sheet state="visible" name="Étudiants" sheetId="2" r:id="rId6"/>
    <sheet state="visible" name="Colleurs" sheetId="3" r:id="rId7"/>
    <sheet state="hidden" name="Trinômes" sheetId="4" r:id="rId8"/>
    <sheet state="hidden" name="LV2" sheetId="5" r:id="rId9"/>
    <sheet state="hidden" name="Semaines" sheetId="6" r:id="rId10"/>
    <sheet state="hidden" name="TPTD" sheetId="7" r:id="rId11"/>
    <sheet state="hidden" name="Colles" sheetId="8" r:id="rId12"/>
    <sheet state="hidden" name="Créneaux" sheetId="9" r:id="rId13"/>
  </sheets>
  <definedNames>
    <definedName name="Matières">'Créneaux'!$E$2:$E$39</definedName>
    <definedName name="CréneauxM">'Créneaux'!$F$2:$J$9</definedName>
    <definedName name="Matière">'Créneaux'!$A$2:$A$39</definedName>
    <definedName name="CollesP">Colles!$B$34:$S$49</definedName>
    <definedName name="CréneauxP">'Créneaux'!$F$18:$J$25</definedName>
    <definedName name="TPInfo">TPTD!$A$10:$R$12</definedName>
    <definedName name="CollesA">Colles!$B$18:$S$33</definedName>
    <definedName name="Semaines">TPTD!$A$1:$R$1</definedName>
    <definedName name="Colleurs">'Créneaux'!$B$2:$B$39</definedName>
    <definedName name="CréneauxS">'Créneaux'!$F$34:$J$37</definedName>
    <definedName name="CollesF">Colles!$B$82:$S$97</definedName>
    <definedName name="CréneauxF">'Créneaux'!$F$38:$J$39</definedName>
    <definedName name="DatesSemaines">Semaines!$A$1:$C$16</definedName>
    <definedName name="CollesM">Colles!$B$2:$S$17</definedName>
    <definedName name="TPSI">TPTD!$A$6:$R$8</definedName>
    <definedName name="TPPhysique">TPTD!$A$3:$R$4</definedName>
    <definedName name="CollesS">Colles!$B$66:$S$81</definedName>
    <definedName name="TDChimie">TPTD!$A$14:$R$15</definedName>
    <definedName name="CréneauxA">'Créneaux'!$F$10:$J$17</definedName>
    <definedName name="CréneauxC">'Créneaux'!$F$26:$J$33</definedName>
    <definedName name="Groupes">'Trinômes'!$F$2:$H$17</definedName>
    <definedName name="LV2Jours">'LV2'!$A$2:$B$4</definedName>
    <definedName name="Étudiants">'Trinômes'!$A$2:$D$48</definedName>
    <definedName name="CollesC">Colles!$B$50:$S$65</definedName>
  </definedNames>
  <calcPr/>
</workbook>
</file>

<file path=xl/sharedStrings.xml><?xml version="1.0" encoding="utf-8"?>
<sst xmlns="http://schemas.openxmlformats.org/spreadsheetml/2006/main" count="270" uniqueCount="158">
  <si>
    <t>Étudiants</t>
  </si>
  <si>
    <t>Matière :</t>
  </si>
  <si>
    <t>Trinômes</t>
  </si>
  <si>
    <t>Place dans le trinôme</t>
  </si>
  <si>
    <t>LV2</t>
  </si>
  <si>
    <t>Groupe G</t>
  </si>
  <si>
    <t>Groupe C</t>
  </si>
  <si>
    <t>ALDEHUELO--LESINSKI Axel</t>
  </si>
  <si>
    <t>Mathématiques</t>
  </si>
  <si>
    <t>Colleur :</t>
  </si>
  <si>
    <t>ALEXANDRE Romeo</t>
  </si>
  <si>
    <t>BIGATI Jules</t>
  </si>
  <si>
    <t>BONNEVAL Lucie</t>
  </si>
  <si>
    <t>Informations</t>
  </si>
  <si>
    <t>BOURDIER Alexandre</t>
  </si>
  <si>
    <t>Mme Gil</t>
  </si>
  <si>
    <t>BROWNE Nora</t>
  </si>
  <si>
    <t>BUGEA--GENOVESE Gaëtan</t>
  </si>
  <si>
    <t>CALISTI Ange</t>
  </si>
  <si>
    <t>CARNAILLE Alexis</t>
  </si>
  <si>
    <t>CASTAGNER Hugo</t>
  </si>
  <si>
    <t>CATHALA Andrea</t>
  </si>
  <si>
    <t>CESARI Elia</t>
  </si>
  <si>
    <t>CHABBERT Elio</t>
  </si>
  <si>
    <t>Espagnol</t>
  </si>
  <si>
    <t>CONSTANCIAS Lucas</t>
  </si>
  <si>
    <t>DARTOIS Thomas</t>
  </si>
  <si>
    <t>DE SAINT-JEAN Thibault</t>
  </si>
  <si>
    <t>DESCOLLONGES Eric</t>
  </si>
  <si>
    <t>DESPRES Jeanne</t>
  </si>
  <si>
    <t>DORLEANS Louis</t>
  </si>
  <si>
    <t>FILLINGER Collin</t>
  </si>
  <si>
    <t>GARIN Pauline</t>
  </si>
  <si>
    <t>GEIGER Jules</t>
  </si>
  <si>
    <t>Semaine :</t>
  </si>
  <si>
    <t>GLISSA Ahmed</t>
  </si>
  <si>
    <t>HAKIM Sarra</t>
  </si>
  <si>
    <t>Semaine A ou B :</t>
  </si>
  <si>
    <t>LAMBIN Bérénice</t>
  </si>
  <si>
    <t>LANDRIEU Hugo</t>
  </si>
  <si>
    <t>LE CUE Hector</t>
  </si>
  <si>
    <t>LEVER BOYER Nolan</t>
  </si>
  <si>
    <t>Italien</t>
  </si>
  <si>
    <t>LUCOTTE Louise</t>
  </si>
  <si>
    <t>LUMINATI Baptiste</t>
  </si>
  <si>
    <t>MAUBOIS Morgane</t>
  </si>
  <si>
    <t>MINET Blandine</t>
  </si>
  <si>
    <t>MION--SANTARELLI Pierre-Ange</t>
  </si>
  <si>
    <t>MONCHAL Lou</t>
  </si>
  <si>
    <t>PERRIN Ornella</t>
  </si>
  <si>
    <t>Lundi</t>
  </si>
  <si>
    <t>PHILIPPOT Ilian</t>
  </si>
  <si>
    <t>Salle</t>
  </si>
  <si>
    <t>POURCHIER Manon</t>
  </si>
  <si>
    <t>RAITORE Maya</t>
  </si>
  <si>
    <t>RAKOTOARIVELO Yann</t>
  </si>
  <si>
    <t>RASTORGUEFF-RAYBAUD Bastien</t>
  </si>
  <si>
    <t>RAZANAJAO Lucas</t>
  </si>
  <si>
    <t>REBUFFEL Augustine</t>
  </si>
  <si>
    <t>RUAULT Marilou</t>
  </si>
  <si>
    <t>THAERON Helena</t>
  </si>
  <si>
    <t>VIEILLARD BARON Lubin</t>
  </si>
  <si>
    <t>VIROT--FINET Raphaël</t>
  </si>
  <si>
    <t>WATTRELOT--LAZAROWICZ Max</t>
  </si>
  <si>
    <t>Heure</t>
  </si>
  <si>
    <t>Étudiant :</t>
  </si>
  <si>
    <t>Trinôme :</t>
  </si>
  <si>
    <t xml:space="preserve">Trinôme </t>
  </si>
  <si>
    <t>TD</t>
  </si>
  <si>
    <t>Créneau</t>
  </si>
  <si>
    <t>Groupe</t>
  </si>
  <si>
    <t>Groupe G :</t>
  </si>
  <si>
    <t>G1</t>
  </si>
  <si>
    <t>Semaine</t>
  </si>
  <si>
    <t>Groupe C :</t>
  </si>
  <si>
    <t>C1</t>
  </si>
  <si>
    <t>Jour</t>
  </si>
  <si>
    <t>Allemand</t>
  </si>
  <si>
    <t>TD Maths</t>
  </si>
  <si>
    <t>Cours</t>
  </si>
  <si>
    <t>Lundi 11h</t>
  </si>
  <si>
    <t>SI</t>
  </si>
  <si>
    <t>A ou B</t>
  </si>
  <si>
    <t>B</t>
  </si>
  <si>
    <t>A</t>
  </si>
  <si>
    <t>Colles</t>
  </si>
  <si>
    <t>Lundi 12h</t>
  </si>
  <si>
    <t>G2</t>
  </si>
  <si>
    <t>TP1</t>
  </si>
  <si>
    <t>Mardi</t>
  </si>
  <si>
    <t>Matière</t>
  </si>
  <si>
    <t>Horaire</t>
  </si>
  <si>
    <t>Colleur</t>
  </si>
  <si>
    <t xml:space="preserve">Salle </t>
  </si>
  <si>
    <t>TP Physique</t>
  </si>
  <si>
    <t>TP SI</t>
  </si>
  <si>
    <t>TP Info</t>
  </si>
  <si>
    <t>TD Chimie</t>
  </si>
  <si>
    <t>Anglais</t>
  </si>
  <si>
    <t>Physique</t>
  </si>
  <si>
    <t>Chimie</t>
  </si>
  <si>
    <t>Français</t>
  </si>
  <si>
    <t>TD Anglais</t>
  </si>
  <si>
    <t>TP2</t>
  </si>
  <si>
    <t>M. Villéger</t>
  </si>
  <si>
    <t>K26/27</t>
  </si>
  <si>
    <t>Prépa 22</t>
  </si>
  <si>
    <t>M. Franch</t>
  </si>
  <si>
    <t>Prépa 23</t>
  </si>
  <si>
    <t>M. Ghiberti</t>
  </si>
  <si>
    <t>K22</t>
  </si>
  <si>
    <t>Mme Peyrelevade</t>
  </si>
  <si>
    <t>Mme Royer</t>
  </si>
  <si>
    <t>Mme Calvin</t>
  </si>
  <si>
    <t>Prépa 14</t>
  </si>
  <si>
    <t>K25</t>
  </si>
  <si>
    <t>M. Ceccarelli</t>
  </si>
  <si>
    <t>K24</t>
  </si>
  <si>
    <t>M. Daoudi</t>
  </si>
  <si>
    <t>Prépa 10</t>
  </si>
  <si>
    <t>Mme Sebah</t>
  </si>
  <si>
    <t>K33</t>
  </si>
  <si>
    <t>Mme Vives</t>
  </si>
  <si>
    <t>Mme Pampana</t>
  </si>
  <si>
    <t>Prépa 25</t>
  </si>
  <si>
    <t>M. Becquet</t>
  </si>
  <si>
    <t>Mme Wallisky</t>
  </si>
  <si>
    <t>TP3</t>
  </si>
  <si>
    <t>M. Ackermann</t>
  </si>
  <si>
    <t>M. Hansen</t>
  </si>
  <si>
    <t>M. Roisin</t>
  </si>
  <si>
    <t>M. Jean</t>
  </si>
  <si>
    <t>Mme Bacchelli</t>
  </si>
  <si>
    <t>K23</t>
  </si>
  <si>
    <t>Mme Zavoli</t>
  </si>
  <si>
    <t>M. Colin</t>
  </si>
  <si>
    <t>Prépa 24</t>
  </si>
  <si>
    <t>M. Lahmar</t>
  </si>
  <si>
    <t>Prépa 21</t>
  </si>
  <si>
    <t>Mme Martin</t>
  </si>
  <si>
    <t>Prépa 36</t>
  </si>
  <si>
    <t>M. Cornette</t>
  </si>
  <si>
    <t>Mme Capitani</t>
  </si>
  <si>
    <t>TD Physique</t>
  </si>
  <si>
    <t>Jeudi 10h</t>
  </si>
  <si>
    <t>Info</t>
  </si>
  <si>
    <t>Jeudi 11h</t>
  </si>
  <si>
    <t>TD SI</t>
  </si>
  <si>
    <t xml:space="preserve"> </t>
  </si>
  <si>
    <t>Mercredi</t>
  </si>
  <si>
    <t>Groupes</t>
  </si>
  <si>
    <t>1-2-3-4-5-6</t>
  </si>
  <si>
    <t>C2</t>
  </si>
  <si>
    <t>7-8-9-10-11</t>
  </si>
  <si>
    <t>C3 - LV2</t>
  </si>
  <si>
    <t>12-13-14-15-16</t>
  </si>
  <si>
    <t>1-2-3-4-5-6-7-8</t>
  </si>
  <si>
    <t>9-10-11-12-13-14-15-16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</si>
</sst>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dd d mmmm yyyy"/>
    <numFmt numFmtId="165" formatCode="d&quot; &quot;mmm"/>
    <numFmt numFmtId="166" formatCode="dddd&quot; &quot;d&quot; &quot;mmmm&quot; &quot;"/>
    <numFmt numFmtId="167" formatCode="dddd d mmmm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rgb="FF000000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  <font/>
    <font>
      <color rgb="FFFF0000"/>
      <name val="Arial"/>
      <scheme val="minor"/>
    </font>
    <font>
      <color rgb="FF46B1E1"/>
      <name val="Arial"/>
      <scheme val="minor"/>
    </font>
    <font>
      <color rgb="FF00B050"/>
      <name val="Arial"/>
      <scheme val="minor"/>
    </font>
    <font>
      <color rgb="FFFF40FF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E8E8E8"/>
        <bgColor rgb="FFE8E8E8"/>
      </patternFill>
    </fill>
    <fill>
      <patternFill patternType="solid">
        <fgColor rgb="FFFBE2D5"/>
        <bgColor rgb="FFFBE2D5"/>
      </patternFill>
    </fill>
    <fill>
      <patternFill patternType="solid">
        <fgColor rgb="FFD1D1D1"/>
        <bgColor rgb="FFD1D1D1"/>
      </patternFill>
    </fill>
    <fill>
      <patternFill patternType="solid">
        <fgColor rgb="FFFAED76"/>
        <bgColor rgb="FFFAED76"/>
      </patternFill>
    </fill>
    <fill>
      <patternFill patternType="solid">
        <fgColor rgb="FFBBFBD9"/>
        <bgColor rgb="FFBBFBD9"/>
      </patternFill>
    </fill>
    <fill>
      <patternFill patternType="solid">
        <fgColor rgb="FFF9C999"/>
        <bgColor rgb="FFF9C999"/>
      </patternFill>
    </fill>
    <fill>
      <patternFill patternType="solid">
        <fgColor rgb="FFF9B9EA"/>
        <bgColor rgb="FFF9B9EA"/>
      </patternFill>
    </fill>
    <fill>
      <patternFill patternType="solid">
        <fgColor rgb="FF80DB63"/>
        <bgColor rgb="FF80DB63"/>
      </patternFill>
    </fill>
    <fill>
      <patternFill patternType="solid">
        <fgColor rgb="FFD8A4D8"/>
        <bgColor rgb="FFD8A4D8"/>
      </patternFill>
    </fill>
  </fills>
  <borders count="1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right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4" numFmtId="0" xfId="0" applyAlignment="1" applyFont="1">
      <alignment horizontal="left" readingOrder="0"/>
    </xf>
    <xf borderId="0" fillId="0" fontId="1" numFmtId="0" xfId="0" applyAlignment="1" applyFont="1">
      <alignment horizontal="right" readingOrder="0"/>
    </xf>
    <xf borderId="0" fillId="0" fontId="4" numFmtId="0" xfId="0" applyAlignment="1" applyFont="1">
      <alignment horizontal="center" readingOrder="0"/>
    </xf>
    <xf borderId="1" fillId="0" fontId="4" numFmtId="0" xfId="0" applyAlignment="1" applyBorder="1" applyFont="1">
      <alignment horizontal="left" readingOrder="0"/>
    </xf>
    <xf borderId="0" fillId="0" fontId="3" numFmtId="0" xfId="0" applyAlignment="1" applyFont="1">
      <alignment readingOrder="0"/>
    </xf>
    <xf borderId="2" fillId="0" fontId="4" numFmtId="0" xfId="0" applyAlignment="1" applyBorder="1" applyFont="1">
      <alignment horizontal="center" readingOrder="0"/>
    </xf>
    <xf borderId="3" fillId="0" fontId="4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right" readingOrder="0"/>
    </xf>
    <xf borderId="0" fillId="0" fontId="3" numFmtId="164" xfId="0" applyAlignment="1" applyFont="1" applyNumberFormat="1">
      <alignment horizontal="left" readingOrder="0"/>
    </xf>
    <xf borderId="0" fillId="0" fontId="1" numFmtId="0" xfId="0" applyAlignment="1" applyFont="1">
      <alignment horizontal="right" vertical="center"/>
    </xf>
    <xf borderId="4" fillId="0" fontId="1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3" fillId="0" fontId="1" numFmtId="0" xfId="0" applyAlignment="1" applyBorder="1" applyFont="1">
      <alignment horizontal="left"/>
    </xf>
    <xf borderId="4" fillId="0" fontId="1" numFmtId="165" xfId="0" applyAlignment="1" applyBorder="1" applyFont="1" applyNumberFormat="1">
      <alignment horizontal="center"/>
    </xf>
    <xf borderId="2" fillId="0" fontId="4" numFmtId="0" xfId="0" applyAlignment="1" applyBorder="1" applyFont="1">
      <alignment readingOrder="0"/>
    </xf>
    <xf borderId="4" fillId="2" fontId="1" numFmtId="165" xfId="0" applyAlignment="1" applyBorder="1" applyFill="1" applyFont="1" applyNumberFormat="1">
      <alignment horizontal="center"/>
    </xf>
    <xf borderId="5" fillId="0" fontId="3" numFmtId="0" xfId="0" applyAlignment="1" applyBorder="1" applyFont="1">
      <alignment horizontal="right" readingOrder="0"/>
    </xf>
    <xf borderId="2" fillId="0" fontId="4" numFmtId="0" xfId="0" applyBorder="1" applyFont="1"/>
    <xf borderId="3" fillId="0" fontId="4" numFmtId="0" xfId="0" applyBorder="1" applyFont="1"/>
    <xf borderId="6" fillId="0" fontId="1" numFmtId="0" xfId="0" applyAlignment="1" applyBorder="1" applyFont="1">
      <alignment horizontal="left"/>
    </xf>
    <xf borderId="0" fillId="3" fontId="1" numFmtId="0" xfId="0" applyAlignment="1" applyFill="1" applyFont="1">
      <alignment horizontal="center" readingOrder="0"/>
    </xf>
    <xf borderId="4" fillId="3" fontId="1" numFmtId="0" xfId="0" applyAlignment="1" applyBorder="1" applyFill="1" applyFont="1">
      <alignment horizontal="center" readingOrder="0"/>
    </xf>
    <xf borderId="0" fillId="0" fontId="1" numFmtId="0" xfId="0" applyFont="1"/>
    <xf borderId="4" fillId="3" fontId="1" numFmtId="0" xfId="0" applyAlignment="1" applyBorder="1" applyFill="1" applyFont="1">
      <alignment readingOrder="0"/>
    </xf>
    <xf borderId="4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right" vertical="center"/>
    </xf>
    <xf borderId="4" fillId="2" fontId="1" numFmtId="0" xfId="0" applyAlignment="1" applyBorder="1" applyFill="1" applyFont="1">
      <alignment horizontal="center"/>
    </xf>
    <xf borderId="0" fillId="0" fontId="1" numFmtId="0" xfId="0" applyFont="1"/>
    <xf borderId="1" fillId="0" fontId="1" numFmtId="166" xfId="0" applyBorder="1" applyFont="1" applyNumberFormat="1"/>
    <xf borderId="7" fillId="0" fontId="1" numFmtId="0" xfId="0" applyAlignment="1" applyBorder="1" applyFont="1">
      <alignment horizontal="right" vertical="center"/>
    </xf>
    <xf borderId="0" fillId="0" fontId="1" numFmtId="0" xfId="0" applyAlignment="1" applyFont="1">
      <alignment readingOrder="0" vertical="center"/>
    </xf>
    <xf borderId="8" fillId="0" fontId="1" numFmtId="0" xfId="0" applyBorder="1" applyFont="1"/>
    <xf borderId="9" fillId="0" fontId="1" numFmtId="0" xfId="0" applyAlignment="1" applyBorder="1" applyFont="1">
      <alignment readingOrder="0" vertical="center"/>
    </xf>
    <xf borderId="10" fillId="0" fontId="1" numFmtId="0" xfId="0" applyAlignment="1" applyBorder="1" applyFont="1">
      <alignment horizontal="left"/>
    </xf>
    <xf borderId="4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/>
    </xf>
    <xf borderId="2" fillId="0" fontId="1" numFmtId="166" xfId="0" applyBorder="1" applyFont="1" applyNumberFormat="1"/>
    <xf borderId="4" fillId="4" fontId="1" numFmtId="0" xfId="0" applyAlignment="1" applyBorder="1" applyFill="1" applyFont="1">
      <alignment horizontal="center" readingOrder="0"/>
    </xf>
    <xf borderId="0" fillId="0" fontId="3" numFmtId="164" xfId="0" applyAlignment="1" applyFont="1" applyNumberFormat="1">
      <alignment horizontal="right" readingOrder="0"/>
    </xf>
    <xf borderId="2" fillId="0" fontId="2" numFmtId="0" xfId="0" applyAlignment="1" applyBorder="1" applyFont="1">
      <alignment horizontal="center" readingOrder="0"/>
    </xf>
    <xf borderId="4" fillId="4" fontId="1" numFmtId="0" xfId="0" applyAlignment="1" applyBorder="1" applyFill="1" applyFont="1">
      <alignment readingOrder="0"/>
    </xf>
    <xf borderId="3" fillId="0" fontId="2" numFmtId="0" xfId="0" applyAlignment="1" applyBorder="1" applyFont="1">
      <alignment horizontal="center" readingOrder="0"/>
    </xf>
    <xf borderId="4" fillId="4" fontId="1" numFmtId="0" xfId="0" applyAlignment="1" applyBorder="1" applyFill="1" applyFont="1">
      <alignment horizontal="center"/>
    </xf>
    <xf borderId="2" fillId="0" fontId="1" numFmtId="166" xfId="0" applyAlignment="1" applyBorder="1" applyFont="1" applyNumberFormat="1">
      <alignment horizontal="center"/>
    </xf>
    <xf borderId="11" fillId="0" fontId="5" numFmtId="0" xfId="0" applyBorder="1" applyFont="1"/>
    <xf borderId="2" fillId="0" fontId="1" numFmtId="0" xfId="0" applyAlignment="1" applyBorder="1" applyFont="1">
      <alignment horizontal="left" readingOrder="0"/>
    </xf>
    <xf borderId="2" fillId="0" fontId="1" numFmtId="0" xfId="0" applyBorder="1" applyFont="1"/>
    <xf borderId="3" fillId="0" fontId="1" numFmtId="0" xfId="0" applyAlignment="1" applyBorder="1" applyFont="1">
      <alignment readingOrder="0"/>
    </xf>
    <xf borderId="2" fillId="0" fontId="3" numFmtId="0" xfId="0" applyAlignment="1" applyBorder="1" applyFont="1">
      <alignment horizontal="right" readingOrder="0"/>
    </xf>
    <xf borderId="3" fillId="0" fontId="3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readingOrder="0"/>
    </xf>
    <xf borderId="2" fillId="0" fontId="3" numFmtId="167" xfId="0" applyAlignment="1" applyBorder="1" applyFont="1" applyNumberFormat="1">
      <alignment horizontal="right" readingOrder="0"/>
    </xf>
    <xf borderId="0" fillId="0" fontId="1" numFmtId="0" xfId="0" applyAlignment="1" applyFont="1">
      <alignment horizontal="left" readingOrder="0"/>
    </xf>
    <xf borderId="2" fillId="0" fontId="3" numFmtId="167" xfId="0" applyAlignment="1" applyBorder="1" applyFont="1" applyNumberFormat="1">
      <alignment readingOrder="0"/>
    </xf>
    <xf borderId="2" fillId="0" fontId="3" numFmtId="0" xfId="0" applyAlignment="1" applyBorder="1" applyFont="1">
      <alignment horizontal="left" readingOrder="0"/>
    </xf>
    <xf borderId="0" fillId="0" fontId="3" numFmtId="167" xfId="0" applyAlignment="1" applyFont="1" applyNumberFormat="1">
      <alignment horizontal="right" readingOrder="0"/>
    </xf>
    <xf borderId="6" fillId="0" fontId="3" numFmtId="0" xfId="0" applyAlignment="1" applyBorder="1" applyFont="1">
      <alignment horizontal="left" readingOrder="0"/>
    </xf>
    <xf borderId="0" fillId="0" fontId="3" numFmtId="167" xfId="0" applyAlignment="1" applyFont="1" applyNumberFormat="1">
      <alignment readingOrder="0"/>
    </xf>
    <xf borderId="3" fillId="0" fontId="1" numFmtId="0" xfId="0" applyBorder="1" applyFont="1"/>
    <xf borderId="5" fillId="0" fontId="1" numFmtId="166" xfId="0" applyBorder="1" applyFont="1" applyNumberFormat="1"/>
    <xf borderId="7" fillId="0" fontId="3" numFmtId="0" xfId="0" applyAlignment="1" applyBorder="1" applyFont="1">
      <alignment horizontal="right" readingOrder="0"/>
    </xf>
    <xf borderId="8" fillId="0" fontId="3" numFmtId="167" xfId="0" applyAlignment="1" applyBorder="1" applyFont="1" applyNumberFormat="1">
      <alignment horizontal="right" readingOrder="0"/>
    </xf>
    <xf borderId="10" fillId="0" fontId="3" numFmtId="0" xfId="0" applyAlignment="1" applyBorder="1" applyFont="1">
      <alignment horizontal="left" readingOrder="0"/>
    </xf>
    <xf borderId="0" fillId="0" fontId="1" numFmtId="166" xfId="0" applyFont="1" applyNumberFormat="1"/>
    <xf borderId="8" fillId="0" fontId="3" numFmtId="167" xfId="0" applyAlignment="1" applyBorder="1" applyFont="1" applyNumberFormat="1">
      <alignment readingOrder="0"/>
    </xf>
    <xf borderId="0" fillId="0" fontId="1" numFmtId="166" xfId="0" applyAlignment="1" applyFont="1" applyNumberFormat="1">
      <alignment horizontal="center"/>
    </xf>
    <xf borderId="8" fillId="0" fontId="3" numFmtId="0" xfId="0" applyAlignment="1" applyBorder="1" applyFont="1">
      <alignment horizontal="left" readingOrder="0"/>
    </xf>
    <xf borderId="6" fillId="0" fontId="1" numFmtId="0" xfId="0" applyBorder="1" applyFont="1"/>
    <xf borderId="0" fillId="0" fontId="1" numFmtId="0" xfId="0" applyAlignment="1" applyFont="1">
      <alignment horizontal="right"/>
    </xf>
    <xf borderId="0" fillId="0" fontId="1" numFmtId="0" xfId="0" applyAlignment="1" applyFont="1">
      <alignment horizontal="lef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0" fontId="6" numFmtId="0" xfId="0" applyAlignment="1" applyFont="1">
      <alignment horizontal="center" readingOrder="0"/>
    </xf>
    <xf borderId="4" fillId="0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readingOrder="0"/>
    </xf>
    <xf borderId="0" fillId="0" fontId="7" numFmtId="0" xfId="0" applyAlignment="1" applyFon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7" numFmtId="0" xfId="0" applyAlignment="1" applyBorder="1" applyFont="1">
      <alignment readingOrder="0"/>
    </xf>
    <xf borderId="7" fillId="0" fontId="1" numFmtId="166" xfId="0" applyBorder="1" applyFont="1" applyNumberFormat="1"/>
    <xf borderId="8" fillId="0" fontId="1" numFmtId="166" xfId="0" applyBorder="1" applyFont="1" applyNumberFormat="1"/>
    <xf borderId="8" fillId="0" fontId="1" numFmtId="166" xfId="0" applyAlignment="1" applyBorder="1" applyFont="1" applyNumberFormat="1">
      <alignment horizontal="center"/>
    </xf>
    <xf borderId="8" fillId="0" fontId="1" numFmtId="0" xfId="0" applyBorder="1" applyFont="1"/>
    <xf borderId="0" fillId="0" fontId="1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8" numFmtId="0" xfId="0" applyAlignment="1" applyBorder="1" applyFont="1">
      <alignment readingOrder="0"/>
    </xf>
    <xf borderId="0" fillId="0" fontId="9" numFmtId="0" xfId="0" applyAlignment="1" applyFont="1">
      <alignment horizontal="center" readingOrder="0"/>
    </xf>
    <xf borderId="4" fillId="0" fontId="9" numFmtId="0" xfId="0" applyAlignment="1" applyBorder="1" applyFont="1">
      <alignment horizontal="center" readingOrder="0"/>
    </xf>
    <xf borderId="4" fillId="0" fontId="9" numFmtId="0" xfId="0" applyAlignment="1" applyBorder="1" applyFont="1">
      <alignment readingOrder="0"/>
    </xf>
    <xf borderId="4" fillId="5" fontId="1" numFmtId="0" xfId="0" applyBorder="1" applyFill="1" applyFont="1"/>
    <xf borderId="4" fillId="5" fontId="1" numFmtId="0" xfId="0" applyAlignment="1" applyBorder="1" applyFill="1" applyFont="1">
      <alignment horizontal="center"/>
    </xf>
    <xf borderId="4" fillId="0" fontId="1" numFmtId="0" xfId="0" applyBorder="1" applyFont="1"/>
    <xf borderId="10" fillId="0" fontId="1" numFmtId="0" xfId="0" applyBorder="1" applyFont="1"/>
    <xf borderId="4" fillId="0" fontId="6" numFmtId="0" xfId="0" applyAlignment="1" applyBorder="1" applyFont="1">
      <alignment horizontal="center"/>
    </xf>
    <xf borderId="0" fillId="3" fontId="1" numFmtId="0" xfId="0" applyAlignment="1" applyFill="1" applyFont="1">
      <alignment horizontal="center" readingOrder="0" vertical="center"/>
    </xf>
    <xf borderId="1" fillId="3" fontId="1" numFmtId="0" xfId="0" applyAlignment="1" applyBorder="1" applyFill="1" applyFont="1">
      <alignment horizontal="center" readingOrder="0" vertical="center"/>
    </xf>
    <xf borderId="2" fillId="0" fontId="5" numFmtId="0" xfId="0" applyBorder="1" applyFont="1"/>
    <xf borderId="3" fillId="0" fontId="5" numFmtId="0" xfId="0" applyBorder="1" applyFont="1"/>
    <xf borderId="7" fillId="0" fontId="5" numFmtId="0" xfId="0" applyBorder="1" applyFont="1"/>
    <xf borderId="8" fillId="0" fontId="5" numFmtId="0" xfId="0" applyBorder="1" applyFont="1"/>
    <xf borderId="10" fillId="0" fontId="5" numFmtId="0" xfId="0" applyBorder="1" applyFont="1"/>
    <xf borderId="12" fillId="0" fontId="1" numFmtId="0" xfId="0" applyAlignment="1" applyBorder="1" applyFont="1">
      <alignment horizontal="left"/>
    </xf>
    <xf borderId="13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horizontal="left"/>
    </xf>
    <xf borderId="11" fillId="0" fontId="1" numFmtId="0" xfId="0" applyAlignment="1" applyBorder="1" applyFont="1">
      <alignment horizontal="left"/>
    </xf>
    <xf borderId="4" fillId="6" fontId="1" numFmtId="0" xfId="0" applyBorder="1" applyFill="1" applyFont="1"/>
    <xf borderId="4" fillId="6" fontId="1" numFmtId="0" xfId="0" applyAlignment="1" applyBorder="1" applyFill="1" applyFont="1">
      <alignment horizontal="center"/>
    </xf>
    <xf borderId="4" fillId="7" fontId="1" numFmtId="0" xfId="0" applyBorder="1" applyFill="1" applyFont="1"/>
    <xf borderId="4" fillId="7" fontId="1" numFmtId="0" xfId="0" applyAlignment="1" applyBorder="1" applyFill="1" applyFont="1">
      <alignment horizontal="center"/>
    </xf>
    <xf borderId="4" fillId="8" fontId="1" numFmtId="0" xfId="0" applyBorder="1" applyFill="1" applyFont="1"/>
    <xf borderId="4" fillId="8" fontId="1" numFmtId="0" xfId="0" applyAlignment="1" applyBorder="1" applyFill="1" applyFont="1">
      <alignment horizontal="center"/>
    </xf>
    <xf borderId="4" fillId="9" fontId="1" numFmtId="0" xfId="0" applyBorder="1" applyFill="1" applyFont="1"/>
    <xf borderId="4" fillId="9" fontId="1" numFmtId="0" xfId="0" applyAlignment="1" applyBorder="1" applyFill="1" applyFont="1">
      <alignment horizontal="center"/>
    </xf>
    <xf borderId="4" fillId="10" fontId="1" numFmtId="0" xfId="0" applyBorder="1" applyFill="1" applyFont="1"/>
    <xf borderId="4" fillId="10" fontId="1" numFmtId="0" xfId="0" applyAlignment="1" applyBorder="1" applyFill="1" applyFont="1">
      <alignment horizontal="center"/>
    </xf>
  </cellXfs>
  <cellStyles count="1">
    <cellStyle xfId="0" name="Normal" builtinId="0"/>
  </cellStyles>
  <dxfs count="4">
    <dxf>
      <font>
        <color rgb="FFFF0000"/>
      </font>
      <fill>
        <patternFill patternType="none"/>
      </fill>
      <border/>
    </dxf>
    <dxf>
      <font>
        <color rgb="FF00B0F0"/>
      </font>
      <fill>
        <patternFill patternType="none"/>
      </fill>
      <border/>
    </dxf>
    <dxf>
      <font>
        <color rgb="FF00B050"/>
      </font>
      <fill>
        <patternFill patternType="none"/>
      </fill>
      <border/>
    </dxf>
    <dxf>
      <font>
        <color rgb="FFFF40FF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hidden="1" min="1" max="1" width="12.63"/>
    <col customWidth="1" hidden="1" min="2" max="2" width="14.75"/>
    <col customWidth="1" min="3" max="3" width="14.75"/>
    <col customWidth="1" min="7" max="7" width="9.13"/>
    <col customWidth="1" min="8" max="11" width="7.13"/>
    <col customWidth="1" min="12" max="12" width="3.13"/>
    <col customWidth="1" min="13" max="19" width="7.13"/>
    <col customWidth="1" min="20" max="20" width="3.25"/>
    <col customWidth="1" min="21" max="23" width="7.13"/>
    <col customWidth="1" min="24" max="24" width="5.13"/>
    <col customWidth="1" hidden="1" min="25" max="25" width="4.25"/>
    <col customWidth="1" min="26" max="26" width="31.75"/>
    <col customWidth="1" hidden="1" min="27" max="27" width="3.88"/>
    <col customWidth="1" min="28" max="28" width="30.38"/>
  </cols>
  <sheetData>
    <row r="1" hidden="1">
      <c r="D1" s="6"/>
      <c r="E1" s="6"/>
      <c r="F1" s="5"/>
      <c r="G1" s="6">
        <f t="shared" ref="G1:K1" si="1">INDIRECT("Semaines!"&amp;ADDRESS(column()-column($E$1)-countif($F$1:F$1,"")+1,2,4))</f>
        <v>3</v>
      </c>
      <c r="H1" s="6">
        <f t="shared" si="1"/>
        <v>4</v>
      </c>
      <c r="I1" s="6">
        <f t="shared" si="1"/>
        <v>5</v>
      </c>
      <c r="J1" s="6">
        <f t="shared" si="1"/>
        <v>6</v>
      </c>
      <c r="K1" s="6">
        <f t="shared" si="1"/>
        <v>7</v>
      </c>
      <c r="L1" s="6"/>
      <c r="M1" s="6">
        <f t="shared" ref="M1:S1" si="2">INDIRECT("Semaines!"&amp;ADDRESS(column()-column($E$1)-countif($F$1:L$1,"")+1,2,4))</f>
        <v>8</v>
      </c>
      <c r="N1" s="6">
        <f t="shared" si="2"/>
        <v>9</v>
      </c>
      <c r="O1" s="6">
        <f t="shared" si="2"/>
        <v>10</v>
      </c>
      <c r="P1" s="6">
        <f t="shared" si="2"/>
        <v>11</v>
      </c>
      <c r="Q1" s="6">
        <f t="shared" si="2"/>
        <v>12</v>
      </c>
      <c r="R1" s="6">
        <f t="shared" si="2"/>
        <v>13</v>
      </c>
      <c r="S1" s="6">
        <f t="shared" si="2"/>
        <v>14</v>
      </c>
      <c r="T1" s="6"/>
      <c r="U1" s="6">
        <f t="shared" ref="U1:W1" si="3">INDIRECT("Semaines!"&amp;ADDRESS(column()-column($E$1)-countif($F$1:T$1,"")+1,2,4))</f>
        <v>15</v>
      </c>
      <c r="V1" s="6">
        <f t="shared" si="3"/>
        <v>16</v>
      </c>
      <c r="W1" s="6">
        <f t="shared" si="3"/>
        <v>17</v>
      </c>
    </row>
    <row r="2">
      <c r="D2" s="6"/>
      <c r="E2" s="6"/>
      <c r="F2" s="17" t="s">
        <v>50</v>
      </c>
      <c r="G2" s="21">
        <f t="shared" ref="G2:K2" si="4">INDIRECT("Semaines!"&amp;ADDRESS(column()-column($E$1)-countif($F$1:F$1,"")+1,1,4))</f>
        <v>46279</v>
      </c>
      <c r="H2" s="21">
        <f t="shared" si="4"/>
        <v>46286</v>
      </c>
      <c r="I2" s="21">
        <f t="shared" si="4"/>
        <v>46293</v>
      </c>
      <c r="J2" s="21">
        <f t="shared" si="4"/>
        <v>46300</v>
      </c>
      <c r="K2" s="21">
        <f t="shared" si="4"/>
        <v>46307</v>
      </c>
      <c r="L2" s="23"/>
      <c r="M2" s="21">
        <f t="shared" ref="M2:S2" si="5">INDIRECT("Semaines!"&amp;ADDRESS(column()-column($E$1)-countif($F$1:L$1,"")+1,1,4))</f>
        <v>46328</v>
      </c>
      <c r="N2" s="21">
        <f t="shared" si="5"/>
        <v>46335</v>
      </c>
      <c r="O2" s="21">
        <f t="shared" si="5"/>
        <v>46342</v>
      </c>
      <c r="P2" s="21">
        <f t="shared" si="5"/>
        <v>46349</v>
      </c>
      <c r="Q2" s="21">
        <f t="shared" si="5"/>
        <v>46356</v>
      </c>
      <c r="R2" s="21">
        <f t="shared" si="5"/>
        <v>46363</v>
      </c>
      <c r="S2" s="21">
        <f t="shared" si="5"/>
        <v>46370</v>
      </c>
      <c r="T2" s="23"/>
      <c r="U2" s="21">
        <f t="shared" ref="U2:W2" si="6">INDIRECT("Semaines!"&amp;ADDRESS(column()-column($E$1)-countif($F$1:T$1,"")+1,1,4))</f>
        <v>46391</v>
      </c>
      <c r="V2" s="21">
        <f t="shared" si="6"/>
        <v>46398</v>
      </c>
      <c r="W2" s="21">
        <f t="shared" si="6"/>
        <v>46405</v>
      </c>
      <c r="Y2" s="28"/>
      <c r="Z2" s="29" t="s">
        <v>68</v>
      </c>
      <c r="AA2" s="29"/>
      <c r="AB2" s="29" t="s">
        <v>69</v>
      </c>
      <c r="AC2" s="31" t="s">
        <v>70</v>
      </c>
    </row>
    <row r="3">
      <c r="D3" s="6"/>
      <c r="E3" s="6"/>
      <c r="F3" s="17" t="s">
        <v>73</v>
      </c>
      <c r="G3" s="32" t="str">
        <f t="shared" ref="G3:K3" si="7">G$1&amp;INDIRECT("Semaines!"&amp;ADDRESS(column()-column($E$1)-countif($F$1:F$1,"")+1,3,4))</f>
        <v>3B</v>
      </c>
      <c r="H3" s="32" t="str">
        <f t="shared" si="7"/>
        <v>4A</v>
      </c>
      <c r="I3" s="32" t="str">
        <f t="shared" si="7"/>
        <v>5B</v>
      </c>
      <c r="J3" s="32" t="str">
        <f t="shared" si="7"/>
        <v>6A</v>
      </c>
      <c r="K3" s="32" t="str">
        <f t="shared" si="7"/>
        <v>7B</v>
      </c>
      <c r="L3" s="34"/>
      <c r="M3" s="32" t="str">
        <f t="shared" ref="M3:S3" si="8">M$1&amp;INDIRECT("Semaines!"&amp;ADDRESS(column()-column($E$1)-countif($F$1:L$1,"")+1,3,4))</f>
        <v>8A</v>
      </c>
      <c r="N3" s="32" t="str">
        <f t="shared" si="8"/>
        <v>9B</v>
      </c>
      <c r="O3" s="32" t="str">
        <f t="shared" si="8"/>
        <v>10A</v>
      </c>
      <c r="P3" s="32" t="str">
        <f t="shared" si="8"/>
        <v>11B</v>
      </c>
      <c r="Q3" s="32" t="str">
        <f t="shared" si="8"/>
        <v>12A</v>
      </c>
      <c r="R3" s="32" t="str">
        <f t="shared" si="8"/>
        <v>13B</v>
      </c>
      <c r="S3" s="32" t="str">
        <f t="shared" si="8"/>
        <v>14A</v>
      </c>
      <c r="T3" s="34"/>
      <c r="U3" s="32" t="str">
        <f t="shared" ref="U3:W3" si="9">U$1&amp;INDIRECT("Semaines!"&amp;ADDRESS(column()-column($E$1)-countif($F$1:T$1,"")+1,3,4))</f>
        <v>15B</v>
      </c>
      <c r="V3" s="32" t="str">
        <f t="shared" si="9"/>
        <v>16A</v>
      </c>
      <c r="W3" s="32" t="str">
        <f t="shared" si="9"/>
        <v>17B</v>
      </c>
      <c r="Y3" s="38"/>
      <c r="Z3" s="40" t="s">
        <v>78</v>
      </c>
      <c r="AA3" s="42"/>
      <c r="AB3" s="42" t="s">
        <v>80</v>
      </c>
      <c r="AC3" s="42" t="s">
        <v>72</v>
      </c>
    </row>
    <row r="4">
      <c r="A4" s="5"/>
      <c r="B4" s="5"/>
      <c r="C4" s="5"/>
      <c r="D4" s="45" t="s">
        <v>81</v>
      </c>
      <c r="E4" s="45"/>
      <c r="F4" s="48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Y4" s="38"/>
      <c r="Z4" s="52"/>
      <c r="AA4" s="42"/>
      <c r="AB4" s="42" t="s">
        <v>86</v>
      </c>
      <c r="AC4" s="42" t="s">
        <v>87</v>
      </c>
    </row>
    <row r="5">
      <c r="A5" s="5"/>
      <c r="B5" s="5">
        <v>8.0</v>
      </c>
      <c r="D5" s="42" t="s">
        <v>88</v>
      </c>
      <c r="E5" s="42" t="s">
        <v>89</v>
      </c>
      <c r="F5" s="17" t="str">
        <f t="shared" ref="F5:F7" si="10">B5&amp;"h"</f>
        <v>8h</v>
      </c>
      <c r="G5" s="32" t="str">
        <f>if(sumproduct((TPTD!B$6:B$8=$B5),TPTD!$A$6:$A$8)&gt;0,"C"&amp;sumproduct((TPTD!B$6:B$8=$B5),TPTD!$A$6:$A$8),"")</f>
        <v>C3</v>
      </c>
      <c r="H5" s="32" t="str">
        <f>if(sumproduct((TPTD!C$6:C$8=$B5),TPTD!$A$6:$A$8)&gt;0,"C"&amp;sumproduct((TPTD!C$6:C$8=$B5),TPTD!$A$6:$A$8),"")</f>
        <v>C1</v>
      </c>
      <c r="I5" s="32" t="str">
        <f>if(sumproduct((TPTD!D$6:D$8=$B5),TPTD!$A$6:$A$8)&gt;0,"C"&amp;sumproduct((TPTD!D$6:D$8=$B5),TPTD!$A$6:$A$8),"")</f>
        <v>C3</v>
      </c>
      <c r="J5" s="32" t="str">
        <f>if(sumproduct((TPTD!E$6:E$8=$B5),TPTD!$A$6:$A$8)&gt;0,"C"&amp;sumproduct((TPTD!E$6:E$8=$B5),TPTD!$A$6:$A$8),"")</f>
        <v>C1</v>
      </c>
      <c r="K5" s="32" t="str">
        <f>if(sumproduct((TPTD!F$6:F$8=$B5),TPTD!$A$6:$A$8)&gt;0,"C"&amp;sumproduct((TPTD!F$6:F$8=$B5),TPTD!$A$6:$A$8),"")</f>
        <v>C3</v>
      </c>
      <c r="L5" s="34"/>
      <c r="M5" s="32" t="str">
        <f>if(sumproduct((TPTD!H$6:H$8=$B5),TPTD!$A$6:$A$8)&gt;0,"C"&amp;sumproduct((TPTD!H$6:H$8=$B5),TPTD!$A$6:$A$8),"")</f>
        <v>C3</v>
      </c>
      <c r="N5" s="32" t="str">
        <f>if(sumproduct((TPTD!I$6:I$8=$B5),TPTD!$A$6:$A$8)&gt;0,"C"&amp;sumproduct((TPTD!I$6:I$8=$B5),TPTD!$A$6:$A$8),"")</f>
        <v>C1</v>
      </c>
      <c r="O5" s="32" t="str">
        <f>if(sumproduct((TPTD!J$6:J$8=$B5),TPTD!$A$6:$A$8)&gt;0,"C"&amp;sumproduct((TPTD!J$6:J$8=$B5),TPTD!$A$6:$A$8),"")</f>
        <v>C3</v>
      </c>
      <c r="P5" s="32" t="str">
        <f>if(sumproduct((TPTD!K$6:K$8=$B5),TPTD!$A$6:$A$8)&gt;0,"C"&amp;sumproduct((TPTD!K$6:K$8=$B5),TPTD!$A$6:$A$8),"")</f>
        <v>C1</v>
      </c>
      <c r="Q5" s="32" t="str">
        <f>if(sumproduct((TPTD!L$6:L$8=$B5),TPTD!$A$6:$A$8)&gt;0,"C"&amp;sumproduct((TPTD!L$6:L$8=$B5),TPTD!$A$6:$A$8),"")</f>
        <v>C3</v>
      </c>
      <c r="R5" s="32" t="str">
        <f>if(sumproduct((TPTD!M$6:M$8=$B5),TPTD!$A$6:$A$8)&gt;0,"C"&amp;sumproduct((TPTD!M$6:M$8=$B5),TPTD!$A$6:$A$8),"")</f>
        <v>C1</v>
      </c>
      <c r="S5" s="32" t="str">
        <f>if(sumproduct((TPTD!N$6:N$8=$B5),TPTD!$A$6:$A$8)&gt;0,"C"&amp;sumproduct((TPTD!N$6:N$8=$B5),TPTD!$A$6:$A$8),"")</f>
        <v>C3</v>
      </c>
      <c r="T5" s="34"/>
      <c r="U5" s="32" t="str">
        <f>if(sumproduct((TPTD!P$6:P$8=$B5),TPTD!$A$6:$A$8)&gt;0,"C"&amp;sumproduct((TPTD!P$6:P$8=$B5),TPTD!$A$6:$A$8),"")</f>
        <v>C1</v>
      </c>
      <c r="V5" s="32" t="str">
        <f>if(sumproduct((TPTD!Q$6:Q$8=$B5),TPTD!$A$6:$A$8)&gt;0,"C"&amp;sumproduct((TPTD!Q$6:Q$8=$B5),TPTD!$A$6:$A$8),"")</f>
        <v>C3</v>
      </c>
      <c r="W5" s="32" t="str">
        <f>if(sumproduct((TPTD!R$6:R$8=$B5),TPTD!$A$6:$A$8)&gt;0,"C"&amp;sumproduct((TPTD!R$6:R$8=$B5),TPTD!$A$6:$A$8),"")</f>
        <v>C1</v>
      </c>
      <c r="Y5" s="38"/>
      <c r="Z5" s="40" t="s">
        <v>102</v>
      </c>
      <c r="AA5" s="42"/>
      <c r="AB5" s="42" t="s">
        <v>80</v>
      </c>
      <c r="AC5" s="42" t="s">
        <v>87</v>
      </c>
    </row>
    <row r="6">
      <c r="A6" s="5"/>
      <c r="B6" s="5">
        <v>10.0</v>
      </c>
      <c r="D6" s="42" t="s">
        <v>103</v>
      </c>
      <c r="E6" s="42" t="s">
        <v>89</v>
      </c>
      <c r="F6" s="17" t="str">
        <f t="shared" si="10"/>
        <v>10h</v>
      </c>
      <c r="G6" s="32" t="str">
        <f>if(sumproduct((TPTD!B$6:B$8=$B6),TPTD!$A$6:$A$8)&gt;0,"C"&amp;sumproduct((TPTD!B$6:B$8=$B6),TPTD!$A$6:$A$8),"")</f>
        <v>C1</v>
      </c>
      <c r="H6" s="32" t="str">
        <f>if(sumproduct((TPTD!C$6:C$8=$B6),TPTD!$A$6:$A$8)&gt;0,"C"&amp;sumproduct((TPTD!C$6:C$8=$B6),TPTD!$A$6:$A$8),"")</f>
        <v>C3</v>
      </c>
      <c r="I6" s="32" t="str">
        <f>if(sumproduct((TPTD!D$6:D$8=$B6),TPTD!$A$6:$A$8)&gt;0,"C"&amp;sumproduct((TPTD!D$6:D$8=$B6),TPTD!$A$6:$A$8),"")</f>
        <v>C1</v>
      </c>
      <c r="J6" s="32" t="str">
        <f>if(sumproduct((TPTD!E$6:E$8=$B6),TPTD!$A$6:$A$8)&gt;0,"C"&amp;sumproduct((TPTD!E$6:E$8=$B6),TPTD!$A$6:$A$8),"")</f>
        <v>C3</v>
      </c>
      <c r="K6" s="32" t="str">
        <f>if(sumproduct((TPTD!F$6:F$8=$B6),TPTD!$A$6:$A$8)&gt;0,"C"&amp;sumproduct((TPTD!F$6:F$8=$B6),TPTD!$A$6:$A$8),"")</f>
        <v>C1</v>
      </c>
      <c r="L6" s="34"/>
      <c r="M6" s="32" t="str">
        <f>if(sumproduct((TPTD!H$6:H$8=$B6),TPTD!$A$6:$A$8)&gt;0,"C"&amp;sumproduct((TPTD!H$6:H$8=$B6),TPTD!$A$6:$A$8),"")</f>
        <v>C1</v>
      </c>
      <c r="N6" s="32" t="str">
        <f>if(sumproduct((TPTD!I$6:I$8=$B6),TPTD!$A$6:$A$8)&gt;0,"C"&amp;sumproduct((TPTD!I$6:I$8=$B6),TPTD!$A$6:$A$8),"")</f>
        <v>C3</v>
      </c>
      <c r="O6" s="32" t="str">
        <f>if(sumproduct((TPTD!J$6:J$8=$B6),TPTD!$A$6:$A$8)&gt;0,"C"&amp;sumproduct((TPTD!J$6:J$8=$B6),TPTD!$A$6:$A$8),"")</f>
        <v>C1</v>
      </c>
      <c r="P6" s="32" t="str">
        <f>if(sumproduct((TPTD!K$6:K$8=$B6),TPTD!$A$6:$A$8)&gt;0,"C"&amp;sumproduct((TPTD!K$6:K$8=$B6),TPTD!$A$6:$A$8),"")</f>
        <v>C3</v>
      </c>
      <c r="Q6" s="32" t="str">
        <f>if(sumproduct((TPTD!L$6:L$8=$B6),TPTD!$A$6:$A$8)&gt;0,"C"&amp;sumproduct((TPTD!L$6:L$8=$B6),TPTD!$A$6:$A$8),"")</f>
        <v>C1</v>
      </c>
      <c r="R6" s="32" t="str">
        <f>if(sumproduct((TPTD!M$6:M$8=$B6),TPTD!$A$6:$A$8)&gt;0,"C"&amp;sumproduct((TPTD!M$6:M$8=$B6),TPTD!$A$6:$A$8),"")</f>
        <v>C3</v>
      </c>
      <c r="S6" s="32" t="str">
        <f>if(sumproduct((TPTD!N$6:N$8=$B6),TPTD!$A$6:$A$8)&gt;0,"C"&amp;sumproduct((TPTD!N$6:N$8=$B6),TPTD!$A$6:$A$8),"")</f>
        <v>C1</v>
      </c>
      <c r="T6" s="34"/>
      <c r="U6" s="32" t="str">
        <f>if(sumproduct((TPTD!P$6:P$8=$B6),TPTD!$A$6:$A$8)&gt;0,"C"&amp;sumproduct((TPTD!P$6:P$8=$B6),TPTD!$A$6:$A$8),"")</f>
        <v>C3</v>
      </c>
      <c r="V6" s="32" t="str">
        <f>if(sumproduct((TPTD!Q$6:Q$8=$B6),TPTD!$A$6:$A$8)&gt;0,"C"&amp;sumproduct((TPTD!Q$6:Q$8=$B6),TPTD!$A$6:$A$8),"")</f>
        <v>C1</v>
      </c>
      <c r="W6" s="32" t="str">
        <f>if(sumproduct((TPTD!R$6:R$8=$B6),TPTD!$A$6:$A$8)&gt;0,"C"&amp;sumproduct((TPTD!R$6:R$8=$B6),TPTD!$A$6:$A$8),"")</f>
        <v>C3</v>
      </c>
      <c r="Y6" s="38"/>
      <c r="Z6" s="52"/>
      <c r="AA6" s="42"/>
      <c r="AB6" s="42" t="s">
        <v>86</v>
      </c>
      <c r="AC6" s="42" t="s">
        <v>72</v>
      </c>
    </row>
    <row r="7">
      <c r="A7" s="5"/>
      <c r="B7" s="5">
        <v>15.0</v>
      </c>
      <c r="C7" s="5"/>
      <c r="D7" s="42" t="s">
        <v>127</v>
      </c>
      <c r="E7" s="42" t="s">
        <v>89</v>
      </c>
      <c r="F7" s="17" t="str">
        <f t="shared" si="10"/>
        <v>15h</v>
      </c>
      <c r="G7" s="32" t="str">
        <f>if(sumproduct((TPTD!B$6:B$8=$B7),TPTD!$A$6:$A$8)&gt;0,"C"&amp;sumproduct((TPTD!B$6:B$8=$B7),TPTD!$A$6:$A$8),"")</f>
        <v>C2</v>
      </c>
      <c r="H7" s="32" t="str">
        <f>if(sumproduct((TPTD!C$6:C$8=$B7),TPTD!$A$6:$A$8)&gt;0,"C"&amp;sumproduct((TPTD!C$6:C$8=$B7),TPTD!$A$6:$A$8),"")</f>
        <v>C2</v>
      </c>
      <c r="I7" s="32" t="str">
        <f>if(sumproduct((TPTD!D$6:D$8=$B7),TPTD!$A$6:$A$8)&gt;0,"C"&amp;sumproduct((TPTD!D$6:D$8=$B7),TPTD!$A$6:$A$8),"")</f>
        <v>C2</v>
      </c>
      <c r="J7" s="32" t="str">
        <f>if(sumproduct((TPTD!E$6:E$8=$B7),TPTD!$A$6:$A$8)&gt;0,"C"&amp;sumproduct((TPTD!E$6:E$8=$B7),TPTD!$A$6:$A$8),"")</f>
        <v>C2</v>
      </c>
      <c r="K7" s="32" t="str">
        <f>if(sumproduct((TPTD!F$6:F$8=$B7),TPTD!$A$6:$A$8)&gt;0,"C"&amp;sumproduct((TPTD!F$6:F$8=$B7),TPTD!$A$6:$A$8),"")</f>
        <v>C2</v>
      </c>
      <c r="L7" s="34"/>
      <c r="M7" s="32" t="str">
        <f>if(sumproduct((TPTD!H$6:H$8=$B7),TPTD!$A$6:$A$8)&gt;0,"C"&amp;sumproduct((TPTD!H$6:H$8=$B7),TPTD!$A$6:$A$8),"")</f>
        <v>C2</v>
      </c>
      <c r="N7" s="32" t="str">
        <f>if(sumproduct((TPTD!I$6:I$8=$B7),TPTD!$A$6:$A$8)&gt;0,"C"&amp;sumproduct((TPTD!I$6:I$8=$B7),TPTD!$A$6:$A$8),"")</f>
        <v>C2</v>
      </c>
      <c r="O7" s="32" t="str">
        <f>if(sumproduct((TPTD!J$6:J$8=$B7),TPTD!$A$6:$A$8)&gt;0,"C"&amp;sumproduct((TPTD!J$6:J$8=$B7),TPTD!$A$6:$A$8),"")</f>
        <v>C2</v>
      </c>
      <c r="P7" s="32" t="str">
        <f>if(sumproduct((TPTD!K$6:K$8=$B7),TPTD!$A$6:$A$8)&gt;0,"C"&amp;sumproduct((TPTD!K$6:K$8=$B7),TPTD!$A$6:$A$8),"")</f>
        <v>C2</v>
      </c>
      <c r="Q7" s="32" t="str">
        <f>if(sumproduct((TPTD!L$6:L$8=$B7),TPTD!$A$6:$A$8)&gt;0,"C"&amp;sumproduct((TPTD!L$6:L$8=$B7),TPTD!$A$6:$A$8),"")</f>
        <v>C2</v>
      </c>
      <c r="R7" s="32" t="str">
        <f>if(sumproduct((TPTD!M$6:M$8=$B7),TPTD!$A$6:$A$8)&gt;0,"C"&amp;sumproduct((TPTD!M$6:M$8=$B7),TPTD!$A$6:$A$8),"")</f>
        <v>C2</v>
      </c>
      <c r="S7" s="32" t="str">
        <f>if(sumproduct((TPTD!N$6:N$8=$B7),TPTD!$A$6:$A$8)&gt;0,"C"&amp;sumproduct((TPTD!N$6:N$8=$B7),TPTD!$A$6:$A$8),"")</f>
        <v>C2</v>
      </c>
      <c r="T7" s="34"/>
      <c r="U7" s="32" t="str">
        <f>if(sumproduct((TPTD!P$6:P$8=$B7),TPTD!$A$6:$A$8)&gt;0,"C"&amp;sumproduct((TPTD!P$6:P$8=$B7),TPTD!$A$6:$A$8),"")</f>
        <v>C2</v>
      </c>
      <c r="V7" s="32" t="str">
        <f>if(sumproduct((TPTD!Q$6:Q$8=$B7),TPTD!$A$6:$A$8)&gt;0,"C"&amp;sumproduct((TPTD!Q$6:Q$8=$B7),TPTD!$A$6:$A$8),"")</f>
        <v>C2</v>
      </c>
      <c r="W7" s="32" t="str">
        <f>if(sumproduct((TPTD!R$6:R$8=$B7),TPTD!$A$6:$A$8)&gt;0,"C"&amp;sumproduct((TPTD!R$6:R$8=$B7),TPTD!$A$6:$A$8),"")</f>
        <v>C2</v>
      </c>
      <c r="Y7" s="38"/>
      <c r="Z7" s="40" t="s">
        <v>143</v>
      </c>
      <c r="AA7" s="42"/>
      <c r="AB7" s="42" t="s">
        <v>144</v>
      </c>
      <c r="AC7" s="42" t="s">
        <v>72</v>
      </c>
    </row>
    <row r="8">
      <c r="A8" s="5"/>
      <c r="C8" s="5"/>
      <c r="D8" s="45" t="s">
        <v>145</v>
      </c>
      <c r="E8" s="45"/>
      <c r="F8" s="48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Y8" s="38"/>
      <c r="Z8" s="52"/>
      <c r="AA8" s="42"/>
      <c r="AB8" s="42" t="s">
        <v>146</v>
      </c>
      <c r="AC8" s="42" t="s">
        <v>87</v>
      </c>
    </row>
    <row r="9">
      <c r="A9" s="5"/>
      <c r="B9" s="5">
        <v>15.0</v>
      </c>
      <c r="C9" s="5"/>
      <c r="D9" s="42" t="s">
        <v>88</v>
      </c>
      <c r="E9" s="42" t="s">
        <v>89</v>
      </c>
      <c r="F9" s="17" t="str">
        <f t="shared" ref="F9:F10" si="11">B9&amp;"h"</f>
        <v>15h</v>
      </c>
      <c r="G9" s="32" t="str">
        <f>if(sumproduct((TPTD!B$10:B$12=$B9),TPTD!$A$10:$A$12)&gt;0,"C"&amp;sumproduct((TPTD!B$10:B$12=$B9),TPTD!$A$10:$A$12),"")</f>
        <v>C1</v>
      </c>
      <c r="H9" s="32" t="str">
        <f>if(sumproduct((TPTD!C$10:C$12=$B9),TPTD!$A$10:$A$12)&gt;0,"C"&amp;sumproduct((TPTD!C$10:C$12=$B9),TPTD!$A$10:$A$12),"")</f>
        <v/>
      </c>
      <c r="I9" s="32" t="str">
        <f>if(sumproduct((TPTD!D$10:D$12=$B9),TPTD!$A$10:$A$12)&gt;0,"C"&amp;sumproduct((TPTD!D$10:D$12=$B9),TPTD!$A$10:$A$12),"")</f>
        <v>C3</v>
      </c>
      <c r="J9" s="32" t="str">
        <f>if(sumproduct((TPTD!E$10:E$12=$B9),TPTD!$A$10:$A$12)&gt;0,"C"&amp;sumproduct((TPTD!E$10:E$12=$B9),TPTD!$A$10:$A$12),"")</f>
        <v/>
      </c>
      <c r="K9" s="32" t="str">
        <f>if(sumproduct((TPTD!F$10:F$12=$B9),TPTD!$A$10:$A$12)&gt;0,"C"&amp;sumproduct((TPTD!F$10:F$12=$B9),TPTD!$A$10:$A$12),"")</f>
        <v>C1</v>
      </c>
      <c r="L9" s="34"/>
      <c r="M9" s="32" t="str">
        <f>if(sumproduct((TPTD!H$10:H$12=$B9),TPTD!$A$10:$A$12)&gt;0,"C"&amp;sumproduct((TPTD!H$10:H$12=$B9),TPTD!$A$10:$A$12),"")</f>
        <v/>
      </c>
      <c r="N9" s="32" t="str">
        <f>if(sumproduct((TPTD!I$10:I$12=$B9),TPTD!$A$10:$A$12)&gt;0,"C"&amp;sumproduct((TPTD!I$10:I$12=$B9),TPTD!$A$10:$A$12),"")</f>
        <v>C1</v>
      </c>
      <c r="O9" s="32" t="str">
        <f>if(sumproduct((TPTD!J$10:J$12=$B9),TPTD!$A$10:$A$12)&gt;0,"C"&amp;sumproduct((TPTD!J$10:J$12=$B9),TPTD!$A$10:$A$12),"")</f>
        <v/>
      </c>
      <c r="P9" s="32" t="str">
        <f>if(sumproduct((TPTD!K$10:K$12=$B9),TPTD!$A$10:$A$12)&gt;0,"C"&amp;sumproduct((TPTD!K$10:K$12=$B9),TPTD!$A$10:$A$12),"")</f>
        <v>C1</v>
      </c>
      <c r="Q9" s="32" t="str">
        <f>if(sumproduct((TPTD!L$10:L$12=$B9),TPTD!$A$10:$A$12)&gt;0,"C"&amp;sumproduct((TPTD!L$10:L$12=$B9),TPTD!$A$10:$A$12),"")</f>
        <v/>
      </c>
      <c r="R9" s="32" t="str">
        <f>if(sumproduct((TPTD!M$10:M$12=$B9),TPTD!$A$10:$A$12)&gt;0,"C"&amp;sumproduct((TPTD!M$10:M$12=$B9),TPTD!$A$10:$A$12),"")</f>
        <v>C3</v>
      </c>
      <c r="S9" s="32" t="str">
        <f>if(sumproduct((TPTD!N$10:N$12=$B9),TPTD!$A$10:$A$12)&gt;0,"C"&amp;sumproduct((TPTD!N$10:N$12=$B9),TPTD!$A$10:$A$12),"")</f>
        <v/>
      </c>
      <c r="T9" s="34"/>
      <c r="U9" s="32" t="str">
        <f>if(sumproduct((TPTD!P$10:P$12=$B9),TPTD!$A$10:$A$12)&gt;0,"C"&amp;sumproduct((TPTD!P$10:P$12=$B9),TPTD!$A$10:$A$12),"")</f>
        <v>C1</v>
      </c>
      <c r="V9" s="32" t="str">
        <f>if(sumproduct((TPTD!Q$10:Q$12=$B9),TPTD!$A$10:$A$12)&gt;0,"C"&amp;sumproduct((TPTD!Q$10:Q$12=$B9),TPTD!$A$10:$A$12),"")</f>
        <v/>
      </c>
      <c r="W9" s="32" t="str">
        <f>if(sumproduct((TPTD!R$10:R$12=$B9),TPTD!$A$10:$A$12)&gt;0,"C"&amp;sumproduct((TPTD!R$10:R$12=$B9),TPTD!$A$10:$A$12),"")</f>
        <v/>
      </c>
      <c r="Y9" s="38"/>
      <c r="Z9" s="40" t="s">
        <v>147</v>
      </c>
      <c r="AA9" s="42"/>
      <c r="AB9" s="42" t="s">
        <v>144</v>
      </c>
      <c r="AC9" s="42" t="s">
        <v>87</v>
      </c>
    </row>
    <row r="10">
      <c r="A10" s="5"/>
      <c r="B10" s="5">
        <v>17.0</v>
      </c>
      <c r="C10" s="5"/>
      <c r="D10" s="42" t="s">
        <v>103</v>
      </c>
      <c r="E10" s="42" t="s">
        <v>89</v>
      </c>
      <c r="F10" s="17" t="str">
        <f t="shared" si="11"/>
        <v>17h</v>
      </c>
      <c r="G10" s="32" t="str">
        <f>if(sumproduct((TPTD!B$10:B$12=$B10),TPTD!$A$10:$A$12)&gt;0,"C"&amp;sumproduct((TPTD!B$10:B$12=$B10),TPTD!$A$10:$A$12),"")</f>
        <v>C3</v>
      </c>
      <c r="H10" s="32" t="str">
        <f>if(sumproduct((TPTD!C$10:C$12=$B10),TPTD!$A$10:$A$12)&gt;0,"C"&amp;sumproduct((TPTD!C$10:C$12=$B10),TPTD!$A$10:$A$12),"")</f>
        <v>C2</v>
      </c>
      <c r="I10" s="32" t="str">
        <f>if(sumproduct((TPTD!D$10:D$12=$B10),TPTD!$A$10:$A$12)&gt;0,"C"&amp;sumproduct((TPTD!D$10:D$12=$B10),TPTD!$A$10:$A$12),"")</f>
        <v>C2</v>
      </c>
      <c r="J10" s="32" t="str">
        <f>if(sumproduct((TPTD!E$10:E$12=$B10),TPTD!$A$10:$A$12)&gt;0,"C"&amp;sumproduct((TPTD!E$10:E$12=$B10),TPTD!$A$10:$A$12),"")</f>
        <v>C1</v>
      </c>
      <c r="K10" s="32" t="str">
        <f>if(sumproduct((TPTD!F$10:F$12=$B10),TPTD!$A$10:$A$12)&gt;0,"C"&amp;sumproduct((TPTD!F$10:F$12=$B10),TPTD!$A$10:$A$12),"")</f>
        <v>C3</v>
      </c>
      <c r="L10" s="34"/>
      <c r="M10" s="32" t="str">
        <f>if(sumproduct((TPTD!H$10:H$12=$B10),TPTD!$A$10:$A$12)&gt;0,"C"&amp;sumproduct((TPTD!H$10:H$12=$B10),TPTD!$A$10:$A$12),"")</f>
        <v>C2</v>
      </c>
      <c r="N10" s="32" t="str">
        <f>if(sumproduct((TPTD!I$10:I$12=$B10),TPTD!$A$10:$A$12)&gt;0,"C"&amp;sumproduct((TPTD!I$10:I$12=$B10),TPTD!$A$10:$A$12),"")</f>
        <v>C2</v>
      </c>
      <c r="O10" s="32" t="str">
        <f>if(sumproduct((TPTD!J$10:J$12=$B10),TPTD!$A$10:$A$12)&gt;0,"C"&amp;sumproduct((TPTD!J$10:J$12=$B10),TPTD!$A$10:$A$12),"")</f>
        <v>C3</v>
      </c>
      <c r="P10" s="32" t="str">
        <f>if(sumproduct((TPTD!K$10:K$12=$B10),TPTD!$A$10:$A$12)&gt;0,"C"&amp;sumproduct((TPTD!K$10:K$12=$B10),TPTD!$A$10:$A$12),"")</f>
        <v>C3</v>
      </c>
      <c r="Q10" s="32" t="str">
        <f>if(sumproduct((TPTD!L$10:L$12=$B10),TPTD!$A$10:$A$12)&gt;0,"C"&amp;sumproduct((TPTD!L$10:L$12=$B10),TPTD!$A$10:$A$12),"")</f>
        <v>C2</v>
      </c>
      <c r="R10" s="32" t="str">
        <f>if(sumproduct((TPTD!M$10:M$12=$B10),TPTD!$A$10:$A$12)&gt;0,"C"&amp;sumproduct((TPTD!M$10:M$12=$B10),TPTD!$A$10:$A$12),"")</f>
        <v>C2</v>
      </c>
      <c r="S10" s="32" t="str">
        <f>if(sumproduct((TPTD!N$10:N$12=$B10),TPTD!$A$10:$A$12)&gt;0,"C"&amp;sumproduct((TPTD!N$10:N$12=$B10),TPTD!$A$10:$A$12),"")</f>
        <v>C1</v>
      </c>
      <c r="T10" s="34"/>
      <c r="U10" s="32" t="str">
        <f>if(sumproduct((TPTD!P$10:P$12=$B10),TPTD!$A$10:$A$12)&gt;0,"C"&amp;sumproduct((TPTD!P$10:P$12=$B10),TPTD!$A$10:$A$12),"")</f>
        <v>C2</v>
      </c>
      <c r="V10" s="32" t="str">
        <f>if(sumproduct((TPTD!Q$10:Q$12=$B10),TPTD!$A$10:$A$12)&gt;0,"C"&amp;sumproduct((TPTD!Q$10:Q$12=$B10),TPTD!$A$10:$A$12),"")</f>
        <v>C3</v>
      </c>
      <c r="W10" s="32" t="str">
        <f>if(sumproduct((TPTD!R$10:R$12=$B10),TPTD!$A$10:$A$12)&gt;0,"C"&amp;sumproduct((TPTD!R$10:R$12=$B10),TPTD!$A$10:$A$12),"")</f>
        <v/>
      </c>
      <c r="Y10" s="38"/>
      <c r="Z10" s="52"/>
      <c r="AA10" s="42"/>
      <c r="AB10" s="42" t="s">
        <v>146</v>
      </c>
      <c r="AC10" s="42" t="s">
        <v>72</v>
      </c>
    </row>
    <row r="11">
      <c r="A11" s="5"/>
      <c r="B11" s="5"/>
      <c r="C11" s="5"/>
      <c r="D11" s="45" t="s">
        <v>100</v>
      </c>
      <c r="E11" s="45"/>
      <c r="F11" s="48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Z11" s="5" t="s">
        <v>148</v>
      </c>
    </row>
    <row r="12">
      <c r="A12" s="5"/>
      <c r="B12" s="5">
        <v>15.0</v>
      </c>
      <c r="C12" s="5"/>
      <c r="D12" s="42" t="s">
        <v>68</v>
      </c>
      <c r="E12" s="42" t="s">
        <v>149</v>
      </c>
      <c r="F12" s="17" t="str">
        <f>B12&amp;"h"</f>
        <v>15h</v>
      </c>
      <c r="G12" s="32" t="str">
        <f>if(sumproduct((TPTD!B$14:B$15=$B12),TPTD!$A$14:$A$15)&gt;0,"G"&amp;sumproduct((TPTD!B$14:B$15=$B12),TPTD!$A$14:$A$15),"")</f>
        <v>G1</v>
      </c>
      <c r="H12" s="32" t="str">
        <f>if(sumproduct((TPTD!C$14:C$15=$B12),TPTD!$A$14:$A$15)&gt;0,"G"&amp;sumproduct((TPTD!C$14:C$15=$B12),TPTD!$A$14:$A$15),"")</f>
        <v>G2</v>
      </c>
      <c r="I12" s="32" t="str">
        <f>if(sumproduct((TPTD!D$14:D$15=$B12),TPTD!$A$14:$A$15)&gt;0,"G"&amp;sumproduct((TPTD!D$14:D$15=$B12),TPTD!$A$14:$A$15),"")</f>
        <v>G1</v>
      </c>
      <c r="J12" s="32" t="str">
        <f>if(sumproduct((TPTD!E$14:E$15=$B12),TPTD!$A$14:$A$15)&gt;0,"G"&amp;sumproduct((TPTD!E$14:E$15=$B12),TPTD!$A$14:$A$15),"")</f>
        <v>G2</v>
      </c>
      <c r="K12" s="32" t="str">
        <f>if(sumproduct((TPTD!F$14:F$15=$B12),TPTD!$A$14:$A$15)&gt;0,"G"&amp;sumproduct((TPTD!F$14:F$15=$B12),TPTD!$A$14:$A$15),"")</f>
        <v/>
      </c>
      <c r="L12" s="34"/>
      <c r="M12" s="32" t="str">
        <f>if(sumproduct((TPTD!H$14:H$15=$B12),TPTD!$A$14:$A$15)&gt;0,"G"&amp;sumproduct((TPTD!H$14:H$15=$B12),TPTD!$A$14:$A$15),"")</f>
        <v>G1</v>
      </c>
      <c r="N12" s="32" t="str">
        <f>if(sumproduct((TPTD!I$14:I$15=$B12),TPTD!$A$14:$A$15)&gt;0,"G"&amp;sumproduct((TPTD!I$14:I$15=$B12),TPTD!$A$14:$A$15),"")</f>
        <v/>
      </c>
      <c r="O12" s="32" t="str">
        <f>if(sumproduct((TPTD!J$14:J$15=$B12),TPTD!$A$14:$A$15)&gt;0,"G"&amp;sumproduct((TPTD!J$14:J$15=$B12),TPTD!$A$14:$A$15),"")</f>
        <v>G2</v>
      </c>
      <c r="P12" s="32" t="str">
        <f>if(sumproduct((TPTD!K$14:K$15=$B12),TPTD!$A$14:$A$15)&gt;0,"G"&amp;sumproduct((TPTD!K$14:K$15=$B12),TPTD!$A$14:$A$15),"")</f>
        <v>G1</v>
      </c>
      <c r="Q12" s="32" t="str">
        <f>if(sumproduct((TPTD!L$14:L$15=$B12),TPTD!$A$14:$A$15)&gt;0,"G"&amp;sumproduct((TPTD!L$14:L$15=$B12),TPTD!$A$14:$A$15),"")</f>
        <v>G2</v>
      </c>
      <c r="R12" s="32" t="str">
        <f>if(sumproduct((TPTD!M$14:M$15=$B12),TPTD!$A$14:$A$15)&gt;0,"G"&amp;sumproduct((TPTD!M$14:M$15=$B12),TPTD!$A$14:$A$15),"")</f>
        <v>G1</v>
      </c>
      <c r="S12" s="32" t="str">
        <f>if(sumproduct((TPTD!N$14:N$15=$B12),TPTD!$A$14:$A$15)&gt;0,"G"&amp;sumproduct((TPTD!N$14:N$15=$B12),TPTD!$A$14:$A$15),"")</f>
        <v>G2</v>
      </c>
      <c r="T12" s="34"/>
      <c r="U12" s="32" t="str">
        <f>if(sumproduct((TPTD!P$14:P$15=$B12),TPTD!$A$14:$A$15)&gt;0,"G"&amp;sumproduct((TPTD!P$14:P$15=$B12),TPTD!$A$14:$A$15),"")</f>
        <v>G1</v>
      </c>
      <c r="V12" s="32" t="str">
        <f>if(sumproduct((TPTD!Q$14:Q$15=$B12),TPTD!$A$14:$A$15)&gt;0,"G"&amp;sumproduct((TPTD!Q$14:Q$15=$B12),TPTD!$A$14:$A$15),"")</f>
        <v>G2</v>
      </c>
      <c r="W12" s="32" t="str">
        <f>if(sumproduct((TPTD!R$14:R$15=$B12),TPTD!$A$14:$A$15)&gt;0,"G"&amp;sumproduct((TPTD!R$14:R$15=$B12),TPTD!$A$14:$A$15),"")</f>
        <v>G1</v>
      </c>
      <c r="Y12" s="81"/>
      <c r="Z12" s="31" t="s">
        <v>150</v>
      </c>
      <c r="AA12" s="31"/>
      <c r="AB12" s="31" t="s">
        <v>2</v>
      </c>
    </row>
    <row r="13">
      <c r="A13" s="5"/>
      <c r="B13" s="5"/>
      <c r="C13" s="5"/>
      <c r="D13" s="45" t="s">
        <v>99</v>
      </c>
      <c r="E13" s="45"/>
      <c r="F13" s="48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Y13" s="82"/>
      <c r="Z13" s="83" t="s">
        <v>75</v>
      </c>
      <c r="AA13" s="84"/>
      <c r="AB13" s="84" t="s">
        <v>151</v>
      </c>
    </row>
    <row r="14">
      <c r="A14" s="5"/>
      <c r="B14" s="5">
        <v>8.0</v>
      </c>
      <c r="C14" s="5"/>
      <c r="D14" s="42" t="s">
        <v>88</v>
      </c>
      <c r="E14" s="42" t="s">
        <v>89</v>
      </c>
      <c r="F14" s="17" t="str">
        <f t="shared" ref="F14:F15" si="12">B14&amp;"h"</f>
        <v>8h</v>
      </c>
      <c r="G14" s="32" t="str">
        <f>if(sumproduct((TPTD!B$3:B$4=$B14),TPTD!$A$3:$A$4)&gt;0,"G"&amp;sumproduct((TPTD!B$3:B$4=$B14),TPTD!$A$3:$A$4),"")</f>
        <v>G1</v>
      </c>
      <c r="H14" s="32" t="str">
        <f>if(sumproduct((TPTD!C$3:C$4=$B14),TPTD!$A$3:$A$4)&gt;0,"G"&amp;sumproduct((TPTD!C$3:C$4=$B14),TPTD!$A$3:$A$4),"")</f>
        <v>G2</v>
      </c>
      <c r="I14" s="32" t="str">
        <f>if(sumproduct((TPTD!D$3:D$4=$B14),TPTD!$A$3:$A$4)&gt;0,"G"&amp;sumproduct((TPTD!D$3:D$4=$B14),TPTD!$A$3:$A$4),"")</f>
        <v>G1</v>
      </c>
      <c r="J14" s="32" t="str">
        <f>if(sumproduct((TPTD!E$3:E$4=$B14),TPTD!$A$3:$A$4)&gt;0,"G"&amp;sumproduct((TPTD!E$3:E$4=$B14),TPTD!$A$3:$A$4),"")</f>
        <v>G2</v>
      </c>
      <c r="K14" s="32" t="str">
        <f>if(sumproduct((TPTD!F$3:F$4=$B14),TPTD!$A$3:$A$4)&gt;0,"G"&amp;sumproduct((TPTD!F$3:F$4=$B14),TPTD!$A$3:$A$4),"")</f>
        <v>G1</v>
      </c>
      <c r="L14" s="34"/>
      <c r="M14" s="32" t="str">
        <f>if(sumproduct((TPTD!H$3:H$4=$B14),TPTD!$A$3:$A$4)&gt;0,"G"&amp;sumproduct((TPTD!H$3:H$4=$B14),TPTD!$A$3:$A$4),"")</f>
        <v>G1</v>
      </c>
      <c r="N14" s="32" t="str">
        <f>if(sumproduct((TPTD!I$3:I$4=$B14),TPTD!$A$3:$A$4)&gt;0,"G"&amp;sumproduct((TPTD!I$3:I$4=$B14),TPTD!$A$3:$A$4),"")</f>
        <v>G2</v>
      </c>
      <c r="O14" s="32" t="str">
        <f>if(sumproduct((TPTD!J$3:J$4=$B14),TPTD!$A$3:$A$4)&gt;0,"G"&amp;sumproduct((TPTD!J$3:J$4=$B14),TPTD!$A$3:$A$4),"")</f>
        <v>G1</v>
      </c>
      <c r="P14" s="32" t="str">
        <f>if(sumproduct((TPTD!K$3:K$4=$B14),TPTD!$A$3:$A$4)&gt;0,"G"&amp;sumproduct((TPTD!K$3:K$4=$B14),TPTD!$A$3:$A$4),"")</f>
        <v>G2</v>
      </c>
      <c r="Q14" s="32" t="str">
        <f>if(sumproduct((TPTD!L$3:L$4=$B14),TPTD!$A$3:$A$4)&gt;0,"G"&amp;sumproduct((TPTD!L$3:L$4=$B14),TPTD!$A$3:$A$4),"")</f>
        <v>G1</v>
      </c>
      <c r="R14" s="32" t="str">
        <f>if(sumproduct((TPTD!M$3:M$4=$B14),TPTD!$A$3:$A$4)&gt;0,"G"&amp;sumproduct((TPTD!M$3:M$4=$B14),TPTD!$A$3:$A$4),"")</f>
        <v>G2</v>
      </c>
      <c r="S14" s="32" t="str">
        <f>if(sumproduct((TPTD!N$3:N$4=$B14),TPTD!$A$3:$A$4)&gt;0,"G"&amp;sumproduct((TPTD!N$3:N$4=$B14),TPTD!$A$3:$A$4),"")</f>
        <v>G1</v>
      </c>
      <c r="T14" s="34"/>
      <c r="U14" s="32" t="str">
        <f>if(sumproduct((TPTD!P$3:P$4=$B14),TPTD!$A$3:$A$4)&gt;0,"G"&amp;sumproduct((TPTD!P$3:P$4=$B14),TPTD!$A$3:$A$4),"")</f>
        <v>G2</v>
      </c>
      <c r="V14" s="32" t="str">
        <f>if(sumproduct((TPTD!Q$3:Q$4=$B14),TPTD!$A$3:$A$4)&gt;0,"G"&amp;sumproduct((TPTD!Q$3:Q$4=$B14),TPTD!$A$3:$A$4),"")</f>
        <v>G1</v>
      </c>
      <c r="W14" s="32" t="str">
        <f>if(sumproduct((TPTD!R$3:R$4=$B14),TPTD!$A$3:$A$4)&gt;0,"G"&amp;sumproduct((TPTD!R$3:R$4=$B14),TPTD!$A$3:$A$4),"")</f>
        <v>G2</v>
      </c>
      <c r="Y14" s="85"/>
      <c r="Z14" s="86" t="s">
        <v>152</v>
      </c>
      <c r="AA14" s="87"/>
      <c r="AB14" s="87" t="s">
        <v>153</v>
      </c>
    </row>
    <row r="15">
      <c r="A15" s="5"/>
      <c r="B15" s="5">
        <v>10.0</v>
      </c>
      <c r="C15" s="5"/>
      <c r="D15" s="42" t="s">
        <v>103</v>
      </c>
      <c r="E15" s="42" t="s">
        <v>89</v>
      </c>
      <c r="F15" s="17" t="str">
        <f t="shared" si="12"/>
        <v>10h</v>
      </c>
      <c r="G15" s="32" t="str">
        <f>if(sumproduct((TPTD!B$3:B$4=$B15),TPTD!$A$3:$A$4)&gt;0,"G"&amp;sumproduct((TPTD!B$3:B$4=$B15),TPTD!$A$3:$A$4),"")</f>
        <v>G2</v>
      </c>
      <c r="H15" s="32" t="str">
        <f>if(sumproduct((TPTD!C$3:C$4=$B15),TPTD!$A$3:$A$4)&gt;0,"G"&amp;sumproduct((TPTD!C$3:C$4=$B15),TPTD!$A$3:$A$4),"")</f>
        <v>G1</v>
      </c>
      <c r="I15" s="32" t="str">
        <f>if(sumproduct((TPTD!D$3:D$4=$B15),TPTD!$A$3:$A$4)&gt;0,"G"&amp;sumproduct((TPTD!D$3:D$4=$B15),TPTD!$A$3:$A$4),"")</f>
        <v>G2</v>
      </c>
      <c r="J15" s="32" t="str">
        <f>if(sumproduct((TPTD!E$3:E$4=$B15),TPTD!$A$3:$A$4)&gt;0,"G"&amp;sumproduct((TPTD!E$3:E$4=$B15),TPTD!$A$3:$A$4),"")</f>
        <v>G1</v>
      </c>
      <c r="K15" s="32" t="str">
        <f>if(sumproduct((TPTD!F$3:F$4=$B15),TPTD!$A$3:$A$4)&gt;0,"G"&amp;sumproduct((TPTD!F$3:F$4=$B15),TPTD!$A$3:$A$4),"")</f>
        <v>G2</v>
      </c>
      <c r="L15" s="34"/>
      <c r="M15" s="32" t="str">
        <f>if(sumproduct((TPTD!H$3:H$4=$B15),TPTD!$A$3:$A$4)&gt;0,"G"&amp;sumproduct((TPTD!H$3:H$4=$B15),TPTD!$A$3:$A$4),"")</f>
        <v>G2</v>
      </c>
      <c r="N15" s="32" t="str">
        <f>if(sumproduct((TPTD!I$3:I$4=$B15),TPTD!$A$3:$A$4)&gt;0,"G"&amp;sumproduct((TPTD!I$3:I$4=$B15),TPTD!$A$3:$A$4),"")</f>
        <v>G1</v>
      </c>
      <c r="O15" s="32" t="str">
        <f>if(sumproduct((TPTD!J$3:J$4=$B15),TPTD!$A$3:$A$4)&gt;0,"G"&amp;sumproduct((TPTD!J$3:J$4=$B15),TPTD!$A$3:$A$4),"")</f>
        <v>G2</v>
      </c>
      <c r="P15" s="32" t="str">
        <f>if(sumproduct((TPTD!K$3:K$4=$B15),TPTD!$A$3:$A$4)&gt;0,"G"&amp;sumproduct((TPTD!K$3:K$4=$B15),TPTD!$A$3:$A$4),"")</f>
        <v>G1</v>
      </c>
      <c r="Q15" s="32" t="str">
        <f>if(sumproduct((TPTD!L$3:L$4=$B15),TPTD!$A$3:$A$4)&gt;0,"G"&amp;sumproduct((TPTD!L$3:L$4=$B15),TPTD!$A$3:$A$4),"")</f>
        <v>G2</v>
      </c>
      <c r="R15" s="32" t="str">
        <f>if(sumproduct((TPTD!M$3:M$4=$B15),TPTD!$A$3:$A$4)&gt;0,"G"&amp;sumproduct((TPTD!M$3:M$4=$B15),TPTD!$A$3:$A$4),"")</f>
        <v>G1</v>
      </c>
      <c r="S15" s="32" t="str">
        <f>if(sumproduct((TPTD!N$3:N$4=$B15),TPTD!$A$3:$A$4)&gt;0,"G"&amp;sumproduct((TPTD!N$3:N$4=$B15),TPTD!$A$3:$A$4),"")</f>
        <v>G2</v>
      </c>
      <c r="T15" s="34"/>
      <c r="U15" s="32" t="str">
        <f>if(sumproduct((TPTD!P$3:P$4=$B15),TPTD!$A$3:$A$4)&gt;0,"G"&amp;sumproduct((TPTD!P$3:P$4=$B15),TPTD!$A$3:$A$4),"")</f>
        <v>G1</v>
      </c>
      <c r="V15" s="32" t="str">
        <f>if(sumproduct((TPTD!Q$3:Q$4=$B15),TPTD!$A$3:$A$4)&gt;0,"G"&amp;sumproduct((TPTD!Q$3:Q$4=$B15),TPTD!$A$3:$A$4),"")</f>
        <v>G2</v>
      </c>
      <c r="W15" s="32" t="str">
        <f>if(sumproduct((TPTD!R$3:R$4=$B15),TPTD!$A$3:$A$4)&gt;0,"G"&amp;sumproduct((TPTD!R$3:R$4=$B15),TPTD!$A$3:$A$4),"")</f>
        <v>G1</v>
      </c>
      <c r="Y15" s="92"/>
      <c r="Z15" s="42" t="s">
        <v>154</v>
      </c>
      <c r="AA15" s="17"/>
      <c r="AB15" s="17" t="s">
        <v>155</v>
      </c>
    </row>
    <row r="16">
      <c r="A16" s="5"/>
      <c r="B16" s="5"/>
      <c r="C16" s="5"/>
      <c r="D16" s="92"/>
      <c r="E16" s="92"/>
      <c r="F16" s="5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Y16" s="93"/>
      <c r="Z16" s="94" t="s">
        <v>72</v>
      </c>
      <c r="AA16" s="95"/>
      <c r="AB16" s="95" t="s">
        <v>156</v>
      </c>
    </row>
    <row r="17">
      <c r="A17" s="5"/>
      <c r="B17" s="5"/>
      <c r="C17" s="17" t="s">
        <v>92</v>
      </c>
      <c r="D17" s="42" t="s">
        <v>76</v>
      </c>
      <c r="E17" s="42" t="s">
        <v>64</v>
      </c>
      <c r="F17" s="17" t="s">
        <v>52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Y17" s="96"/>
      <c r="Z17" s="97" t="s">
        <v>87</v>
      </c>
      <c r="AA17" s="98"/>
      <c r="AB17" s="98" t="s">
        <v>157</v>
      </c>
    </row>
    <row r="18">
      <c r="A18" s="5"/>
      <c r="C18" s="99" t="str">
        <f>A19</f>
        <v>Mathématiques</v>
      </c>
      <c r="D18" s="100"/>
      <c r="E18" s="100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</row>
    <row r="19">
      <c r="A19" s="5" t="str">
        <f>'Créneaux'!E2</f>
        <v>Mathématiques</v>
      </c>
      <c r="B19" s="30">
        <f>'Créneaux'!F2</f>
        <v>1</v>
      </c>
      <c r="C19" s="101" t="str">
        <f>'Créneaux'!G2</f>
        <v>M. Villéger</v>
      </c>
      <c r="D19" s="32" t="str">
        <f>switch('Créneaux'!H2,0,"Lundi",1,"Mardi",2,"Mercredi",3,"Jeudi",4,"Vendredi")</f>
        <v>Mercredi</v>
      </c>
      <c r="E19" s="32" t="str">
        <f>'Créneaux'!I2&amp;"h"</f>
        <v>15h</v>
      </c>
      <c r="F19" s="32" t="str">
        <f>'Créneaux'!J2</f>
        <v>K26/27</v>
      </c>
      <c r="G19" s="34" t="str">
        <f>if(sumproduct((Colles!$A$2:$A$97=$A19),(Colles!C$2:C$97=$B19),(Colles!$B$2:$B$97))&gt;0,sumproduct((Colles!$A$2:$A$97=$A19),(Colles!C$2:C$97=$B19),(Colles!$B$2:$B$97)),"")</f>
        <v/>
      </c>
      <c r="H19" s="32">
        <f>if(sumproduct((Colles!$A$2:$A$97=$A19),(Colles!D$2:D$97=$B19),(Colles!$B$2:$B$97))&gt;0,sumproduct((Colles!$A$2:$A$97=$A19),(Colles!D$2:D$97=$B19),(Colles!$B$2:$B$97)),"")</f>
        <v>1</v>
      </c>
      <c r="I19" s="103">
        <f>if(sumproduct((Colles!$A$2:$A$97=$A19),(Colles!E$2:E$97=$B19),(Colles!$B$2:$B$97))&gt;0,sumproduct((Colles!$A$2:$A$97=$A19),(Colles!E$2:E$97=$B19),(Colles!$B$2:$B$97)),"")</f>
        <v>14</v>
      </c>
      <c r="J19" s="32">
        <f>if(sumproduct((Colles!$A$2:$A$97=$A19),(Colles!F$2:F$97=$B19),(Colles!$B$2:$B$97))&gt;0,sumproduct((Colles!$A$2:$A$97=$A19),(Colles!F$2:F$97=$B19),(Colles!$B$2:$B$97)),"")</f>
        <v>7</v>
      </c>
      <c r="K19" s="103">
        <f>if(sumproduct((Colles!$A$2:$A$97=$A19),(Colles!G$2:G$97=$B19),(Colles!$B$2:$B$97))&gt;0,sumproduct((Colles!$A$2:$A$97=$A19),(Colles!G$2:G$97=$B19),(Colles!$B$2:$B$97)),"")</f>
        <v>12</v>
      </c>
      <c r="L19" s="34"/>
      <c r="M19" s="32">
        <f>if(sumproduct((Colles!$A$2:$A$97=$A19),(Colles!I$2:I$97=$B19),(Colles!$B$2:$B$97))&gt;0,sumproduct((Colles!$A$2:$A$97=$A19),(Colles!I$2:I$97=$B19),(Colles!$B$2:$B$97)),"")</f>
        <v>11</v>
      </c>
      <c r="N19" s="103">
        <f>if(sumproduct((Colles!$A$2:$A$97=$A19),(Colles!J$2:J$97=$B19),(Colles!$B$2:$B$97))&gt;0,sumproduct((Colles!$A$2:$A$97=$A19),(Colles!J$2:J$97=$B19),(Colles!$B$2:$B$97)),"")</f>
        <v>10</v>
      </c>
      <c r="O19" s="32">
        <f>if(sumproduct((Colles!$A$2:$A$97=$A19),(Colles!K$2:K$97=$B19),(Colles!$B$2:$B$97))&gt;0,sumproduct((Colles!$A$2:$A$97=$A19),(Colles!K$2:K$97=$B19),(Colles!$B$2:$B$97)),"")</f>
        <v>7</v>
      </c>
      <c r="P19" s="103">
        <f>if(sumproduct((Colles!$A$2:$A$97=$A19),(Colles!L$2:L$97=$B19),(Colles!$B$2:$B$97))&gt;0,sumproduct((Colles!$A$2:$A$97=$A19),(Colles!L$2:L$97=$B19),(Colles!$B$2:$B$97)),"")</f>
        <v>16</v>
      </c>
      <c r="Q19" s="32">
        <f>if(sumproduct((Colles!$A$2:$A$97=$A19),(Colles!M$2:M$97=$B19),(Colles!$B$2:$B$97))&gt;0,sumproduct((Colles!$A$2:$A$97=$A19),(Colles!M$2:M$97=$B19),(Colles!$B$2:$B$97)),"")</f>
        <v>1</v>
      </c>
      <c r="R19" s="103">
        <f>if(sumproduct((Colles!$A$2:$A$97=$A19),(Colles!N$2:N$97=$B19),(Colles!$B$2:$B$97))&gt;0,sumproduct((Colles!$A$2:$A$97=$A19),(Colles!N$2:N$97=$B19),(Colles!$B$2:$B$97)),"")</f>
        <v>14</v>
      </c>
      <c r="S19" s="32">
        <f>if(sumproduct((Colles!$A$2:$A$97=$A19),(Colles!O$2:O$97=$B19),(Colles!$B$2:$B$97))&gt;0,sumproduct((Colles!$A$2:$A$97=$A19),(Colles!O$2:O$97=$B19),(Colles!$B$2:$B$97)),"")</f>
        <v>3</v>
      </c>
      <c r="T19" s="34"/>
      <c r="U19" s="34" t="str">
        <f>if(sumproduct((Colles!$A$2:$A$97=$A19),(Colles!Q$2:Q$97=$B19),(Colles!$B$2:$B$97))&gt;0,sumproduct((Colles!$A$2:$A$97=$A19),(Colles!Q$2:Q$97=$B19),(Colles!$B$2:$B$97)),"")</f>
        <v/>
      </c>
      <c r="V19" s="103">
        <f>if(sumproduct((Colles!$A$2:$A$97=$A19),(Colles!R$2:R$97=$B19),(Colles!$B$2:$B$97))&gt;0,sumproduct((Colles!$A$2:$A$97=$A19),(Colles!R$2:R$97=$B19),(Colles!$B$2:$B$97)),"")</f>
        <v>4</v>
      </c>
      <c r="W19" s="32">
        <f>if(sumproduct((Colles!$A$2:$A$97=$A19),(Colles!S$2:S$97=$B19),(Colles!$B$2:$B$97))&gt;0,sumproduct((Colles!$A$2:$A$97=$A19),(Colles!S$2:S$97=$B19),(Colles!$B$2:$B$97)),"")</f>
        <v>15</v>
      </c>
      <c r="Y19" s="104"/>
      <c r="Z19" s="105" t="s">
        <v>2</v>
      </c>
      <c r="AA19" s="106"/>
      <c r="AB19" s="107"/>
    </row>
    <row r="20">
      <c r="A20" s="5" t="str">
        <f>'Créneaux'!E3</f>
        <v>Mathématiques</v>
      </c>
      <c r="B20" s="30">
        <f>'Créneaux'!F3</f>
        <v>2</v>
      </c>
      <c r="C20" s="101" t="str">
        <f>'Créneaux'!G3</f>
        <v>M. Villéger</v>
      </c>
      <c r="D20" s="32" t="str">
        <f>switch('Créneaux'!H3,0,"Lundi",1,"Mardi",2,"Mercredi",3,"Jeudi",4,"Vendredi")</f>
        <v>Mercredi</v>
      </c>
      <c r="E20" s="32" t="str">
        <f>'Créneaux'!I3&amp;"h"</f>
        <v>16h</v>
      </c>
      <c r="F20" s="32" t="str">
        <f>'Créneaux'!J3</f>
        <v>K26/27</v>
      </c>
      <c r="G20" s="34" t="str">
        <f>if(sumproduct((Colles!$A$2:$A$97=$A20),(Colles!C$2:C$97=$B20),(Colles!$B$2:$B$97))&gt;0,sumproduct((Colles!$A$2:$A$97=$A20),(Colles!C$2:C$97=$B20),(Colles!$B$2:$B$97)),"")</f>
        <v/>
      </c>
      <c r="H20" s="32">
        <f>if(sumproduct((Colles!$A$2:$A$97=$A20),(Colles!D$2:D$97=$B20),(Colles!$B$2:$B$97))&gt;0,sumproduct((Colles!$A$2:$A$97=$A20),(Colles!D$2:D$97=$B20),(Colles!$B$2:$B$97)),"")</f>
        <v>15</v>
      </c>
      <c r="I20" s="103">
        <f>if(sumproduct((Colles!$A$2:$A$97=$A20),(Colles!E$2:E$97=$B20),(Colles!$B$2:$B$97))&gt;0,sumproduct((Colles!$A$2:$A$97=$A20),(Colles!E$2:E$97=$B20),(Colles!$B$2:$B$97)),"")</f>
        <v>4</v>
      </c>
      <c r="J20" s="32">
        <f>if(sumproduct((Colles!$A$2:$A$97=$A20),(Colles!F$2:F$97=$B20),(Colles!$B$2:$B$97))&gt;0,sumproduct((Colles!$A$2:$A$97=$A20),(Colles!F$2:F$97=$B20),(Colles!$B$2:$B$97)),"")</f>
        <v>13</v>
      </c>
      <c r="K20" s="103">
        <f>if(sumproduct((Colles!$A$2:$A$97=$A20),(Colles!G$2:G$97=$B20),(Colles!$B$2:$B$97))&gt;0,sumproduct((Colles!$A$2:$A$97=$A20),(Colles!G$2:G$97=$B20),(Colles!$B$2:$B$97)),"")</f>
        <v>6</v>
      </c>
      <c r="L20" s="34"/>
      <c r="M20" s="32">
        <f>if(sumproduct((Colles!$A$2:$A$97=$A20),(Colles!I$2:I$97=$B20),(Colles!$B$2:$B$97))&gt;0,sumproduct((Colles!$A$2:$A$97=$A20),(Colles!I$2:I$97=$B20),(Colles!$B$2:$B$97)),"")</f>
        <v>5</v>
      </c>
      <c r="N20" s="103">
        <f>if(sumproduct((Colles!$A$2:$A$97=$A20),(Colles!J$2:J$97=$B20),(Colles!$B$2:$B$97))&gt;0,sumproduct((Colles!$A$2:$A$97=$A20),(Colles!J$2:J$97=$B20),(Colles!$B$2:$B$97)),"")</f>
        <v>8</v>
      </c>
      <c r="O20" s="32">
        <f>if(sumproduct((Colles!$A$2:$A$97=$A20),(Colles!K$2:K$97=$B20),(Colles!$B$2:$B$97))&gt;0,sumproduct((Colles!$A$2:$A$97=$A20),(Colles!K$2:K$97=$B20),(Colles!$B$2:$B$97)),"")</f>
        <v>9</v>
      </c>
      <c r="P20" s="103">
        <f>if(sumproduct((Colles!$A$2:$A$97=$A20),(Colles!L$2:L$97=$B20),(Colles!$B$2:$B$97))&gt;0,sumproduct((Colles!$A$2:$A$97=$A20),(Colles!L$2:L$97=$B20),(Colles!$B$2:$B$97)),"")</f>
        <v>2</v>
      </c>
      <c r="Q20" s="32">
        <f>if(sumproduct((Colles!$A$2:$A$97=$A20),(Colles!M$2:M$97=$B20),(Colles!$B$2:$B$97))&gt;0,sumproduct((Colles!$A$2:$A$97=$A20),(Colles!M$2:M$97=$B20),(Colles!$B$2:$B$97)),"")</f>
        <v>15</v>
      </c>
      <c r="R20" s="103">
        <f>if(sumproduct((Colles!$A$2:$A$97=$A20),(Colles!N$2:N$97=$B20),(Colles!$B$2:$B$97))&gt;0,sumproduct((Colles!$A$2:$A$97=$A20),(Colles!N$2:N$97=$B20),(Colles!$B$2:$B$97)),"")</f>
        <v>4</v>
      </c>
      <c r="S20" s="32">
        <f>if(sumproduct((Colles!$A$2:$A$97=$A20),(Colles!O$2:O$97=$B20),(Colles!$B$2:$B$97))&gt;0,sumproduct((Colles!$A$2:$A$97=$A20),(Colles!O$2:O$97=$B20),(Colles!$B$2:$B$97)),"")</f>
        <v>9</v>
      </c>
      <c r="T20" s="34"/>
      <c r="U20" s="34" t="str">
        <f>if(sumproduct((Colles!$A$2:$A$97=$A20),(Colles!Q$2:Q$97=$B20),(Colles!$B$2:$B$97))&gt;0,sumproduct((Colles!$A$2:$A$97=$A20),(Colles!Q$2:Q$97=$B20),(Colles!$B$2:$B$97)),"")</f>
        <v/>
      </c>
      <c r="V20" s="103">
        <f>if(sumproduct((Colles!$A$2:$A$97=$A20),(Colles!R$2:R$97=$B20),(Colles!$B$2:$B$97))&gt;0,sumproduct((Colles!$A$2:$A$97=$A20),(Colles!R$2:R$97=$B20),(Colles!$B$2:$B$97)),"")</f>
        <v>16</v>
      </c>
      <c r="W20" s="32">
        <f>if(sumproduct((Colles!$A$2:$A$97=$A20),(Colles!S$2:S$97=$B20),(Colles!$B$2:$B$97))&gt;0,sumproduct((Colles!$A$2:$A$97=$A20),(Colles!S$2:S$97=$B20),(Colles!$B$2:$B$97)),"")</f>
        <v>1</v>
      </c>
      <c r="Y20" s="104"/>
      <c r="Z20" s="108"/>
      <c r="AA20" s="109"/>
      <c r="AB20" s="110"/>
    </row>
    <row r="21">
      <c r="A21" s="5" t="str">
        <f>'Créneaux'!E4</f>
        <v>Mathématiques</v>
      </c>
      <c r="B21" s="30">
        <f>'Créneaux'!F4</f>
        <v>3</v>
      </c>
      <c r="C21" s="101" t="str">
        <f>'Créneaux'!G4</f>
        <v>Mme Gil</v>
      </c>
      <c r="D21" s="32" t="str">
        <f>switch('Créneaux'!H4,0,"Lundi",1,"Mardi",2,"Mercredi",3,"Jeudi",4,"Vendredi")</f>
        <v>Mercredi</v>
      </c>
      <c r="E21" s="32" t="str">
        <f>'Créneaux'!I4&amp;"h"</f>
        <v>15h</v>
      </c>
      <c r="F21" s="32" t="str">
        <f>'Créneaux'!J4</f>
        <v>Prépa 22</v>
      </c>
      <c r="G21" s="34" t="str">
        <f>if(sumproduct((Colles!$A$2:$A$97=$A21),(Colles!C$2:C$97=$B21),(Colles!$B$2:$B$97))&gt;0,sumproduct((Colles!$A$2:$A$97=$A21),(Colles!C$2:C$97=$B21),(Colles!$B$2:$B$97)),"")</f>
        <v/>
      </c>
      <c r="H21" s="32">
        <f>if(sumproduct((Colles!$A$2:$A$97=$A21),(Colles!D$2:D$97=$B21),(Colles!$B$2:$B$97))&gt;0,sumproduct((Colles!$A$2:$A$97=$A21),(Colles!D$2:D$97=$B21),(Colles!$B$2:$B$97)),"")</f>
        <v>3</v>
      </c>
      <c r="I21" s="103">
        <f>if(sumproduct((Colles!$A$2:$A$97=$A21),(Colles!E$2:E$97=$B21),(Colles!$B$2:$B$97))&gt;0,sumproduct((Colles!$A$2:$A$97=$A21),(Colles!E$2:E$97=$B21),(Colles!$B$2:$B$97)),"")</f>
        <v>16</v>
      </c>
      <c r="J21" s="32">
        <f>if(sumproduct((Colles!$A$2:$A$97=$A21),(Colles!F$2:F$97=$B21),(Colles!$B$2:$B$97))&gt;0,sumproduct((Colles!$A$2:$A$97=$A21),(Colles!F$2:F$97=$B21),(Colles!$B$2:$B$97)),"")</f>
        <v>5</v>
      </c>
      <c r="K21" s="103">
        <f>if(sumproduct((Colles!$A$2:$A$97=$A21),(Colles!G$2:G$97=$B21),(Colles!$B$2:$B$97))&gt;0,sumproduct((Colles!$A$2:$A$97=$A21),(Colles!G$2:G$97=$B21),(Colles!$B$2:$B$97)),"")</f>
        <v>10</v>
      </c>
      <c r="L21" s="34"/>
      <c r="M21" s="32">
        <f>if(sumproduct((Colles!$A$2:$A$97=$A21),(Colles!I$2:I$97=$B21),(Colles!$B$2:$B$97))&gt;0,sumproduct((Colles!$A$2:$A$97=$A21),(Colles!I$2:I$97=$B21),(Colles!$B$2:$B$97)),"")</f>
        <v>15</v>
      </c>
      <c r="N21" s="103">
        <f>if(sumproduct((Colles!$A$2:$A$97=$A21),(Colles!J$2:J$97=$B21),(Colles!$B$2:$B$97))&gt;0,sumproduct((Colles!$A$2:$A$97=$A21),(Colles!J$2:J$97=$B21),(Colles!$B$2:$B$97)),"")</f>
        <v>16</v>
      </c>
      <c r="O21" s="32">
        <f>if(sumproduct((Colles!$A$2:$A$97=$A21),(Colles!K$2:K$97=$B21),(Colles!$B$2:$B$97))&gt;0,sumproduct((Colles!$A$2:$A$97=$A21),(Colles!K$2:K$97=$B21),(Colles!$B$2:$B$97)),"")</f>
        <v>5</v>
      </c>
      <c r="P21" s="103">
        <f>if(sumproduct((Colles!$A$2:$A$97=$A21),(Colles!L$2:L$97=$B21),(Colles!$B$2:$B$97))&gt;0,sumproduct((Colles!$A$2:$A$97=$A21),(Colles!L$2:L$97=$B21),(Colles!$B$2:$B$97)),"")</f>
        <v>14</v>
      </c>
      <c r="Q21" s="32">
        <f>if(sumproduct((Colles!$A$2:$A$97=$A21),(Colles!M$2:M$97=$B21),(Colles!$B$2:$B$97))&gt;0,sumproduct((Colles!$A$2:$A$97=$A21),(Colles!M$2:M$97=$B21),(Colles!$B$2:$B$97)),"")</f>
        <v>3</v>
      </c>
      <c r="R21" s="103">
        <f>if(sumproduct((Colles!$A$2:$A$97=$A21),(Colles!N$2:N$97=$B21),(Colles!$B$2:$B$97))&gt;0,sumproduct((Colles!$A$2:$A$97=$A21),(Colles!N$2:N$97=$B21),(Colles!$B$2:$B$97)),"")</f>
        <v>10</v>
      </c>
      <c r="S21" s="32">
        <f>if(sumproduct((Colles!$A$2:$A$97=$A21),(Colles!O$2:O$97=$B21),(Colles!$B$2:$B$97))&gt;0,sumproduct((Colles!$A$2:$A$97=$A21),(Colles!O$2:O$97=$B21),(Colles!$B$2:$B$97)),"")</f>
        <v>7</v>
      </c>
      <c r="T21" s="34"/>
      <c r="U21" s="34" t="str">
        <f>if(sumproduct((Colles!$A$2:$A$97=$A21),(Colles!Q$2:Q$97=$B21),(Colles!$B$2:$B$97))&gt;0,sumproduct((Colles!$A$2:$A$97=$A21),(Colles!Q$2:Q$97=$B21),(Colles!$B$2:$B$97)),"")</f>
        <v/>
      </c>
      <c r="V21" s="103">
        <f>if(sumproduct((Colles!$A$2:$A$97=$A21),(Colles!R$2:R$97=$B21),(Colles!$B$2:$B$97))&gt;0,sumproduct((Colles!$A$2:$A$97=$A21),(Colles!R$2:R$97=$B21),(Colles!$B$2:$B$97)),"")</f>
        <v>2</v>
      </c>
      <c r="W21" s="32">
        <f>if(sumproduct((Colles!$A$2:$A$97=$A21),(Colles!S$2:S$97=$B21),(Colles!$B$2:$B$97))&gt;0,sumproduct((Colles!$A$2:$A$97=$A21),(Colles!S$2:S$97=$B21),(Colles!$B$2:$B$97)),"")</f>
        <v>9</v>
      </c>
      <c r="Y21" s="61">
        <v>1.0</v>
      </c>
      <c r="Z21" s="111" t="str">
        <f>Y21&amp;IF(SUMPRODUCT('Trinômes'!$A$2:$A$48=Z22,'Trinômes'!$D$2:$D$48&lt;&gt;0)+SUMPRODUCT('Trinômes'!$A$2:$A$48=Z23,'Trinômes'!$D$2:$D$48&lt;&gt;0)+SUMPRODUCT('Trinômes'!$A$2:$A$48=Z24,'Trinômes'!$D$2:$D$48&lt;&gt;0)&gt;0," – LV2","")</f>
        <v>1</v>
      </c>
      <c r="AA21" s="112">
        <f>Y21+1</f>
        <v>2</v>
      </c>
      <c r="AB21" s="113" t="str">
        <f>AA21&amp;IF(SUMPRODUCT('Trinômes'!$A$2:$A$48=AB22,'Trinômes'!$D$2:$D$48&lt;&gt;0)+SUMPRODUCT('Trinômes'!$A$2:$A$48=AB23,'Trinômes'!$D$2:$D$48&lt;&gt;0)+SUMPRODUCT('Trinômes'!$A$2:$A$48=AB24,'Trinômes'!$D$2:$D$48&lt;&gt;0)&gt;0," – LV2","")</f>
        <v>2</v>
      </c>
    </row>
    <row r="22">
      <c r="A22" s="5" t="str">
        <f>'Créneaux'!E5</f>
        <v>Mathématiques</v>
      </c>
      <c r="B22" s="30">
        <f>'Créneaux'!F5</f>
        <v>4</v>
      </c>
      <c r="C22" s="101" t="str">
        <f>'Créneaux'!G5</f>
        <v>M. Franch</v>
      </c>
      <c r="D22" s="32" t="str">
        <f>switch('Créneaux'!H5,0,"Lundi",1,"Mardi",2,"Mercredi",3,"Jeudi",4,"Vendredi")</f>
        <v>Mercredi</v>
      </c>
      <c r="E22" s="32" t="str">
        <f>'Créneaux'!I5&amp;"h"</f>
        <v>17h</v>
      </c>
      <c r="F22" s="32" t="str">
        <f>'Créneaux'!J5</f>
        <v>Prépa 23</v>
      </c>
      <c r="G22" s="34" t="str">
        <f>if(sumproduct((Colles!$A$2:$A$97=$A22),(Colles!C$2:C$97=$B22),(Colles!$B$2:$B$97))&gt;0,sumproduct((Colles!$A$2:$A$97=$A22),(Colles!C$2:C$97=$B22),(Colles!$B$2:$B$97)),"")</f>
        <v/>
      </c>
      <c r="H22" s="32">
        <f>if(sumproduct((Colles!$A$2:$A$97=$A22),(Colles!D$2:D$97=$B22),(Colles!$B$2:$B$97))&gt;0,sumproduct((Colles!$A$2:$A$97=$A22),(Colles!D$2:D$97=$B22),(Colles!$B$2:$B$97)),"")</f>
        <v>11</v>
      </c>
      <c r="I22" s="103">
        <f>if(sumproduct((Colles!$A$2:$A$97=$A22),(Colles!E$2:E$97=$B22),(Colles!$B$2:$B$97))&gt;0,sumproduct((Colles!$A$2:$A$97=$A22),(Colles!E$2:E$97=$B22),(Colles!$B$2:$B$97)),"")</f>
        <v>6</v>
      </c>
      <c r="J22" s="32">
        <f>if(sumproduct((Colles!$A$2:$A$97=$A22),(Colles!F$2:F$97=$B22),(Colles!$B$2:$B$97))&gt;0,sumproduct((Colles!$A$2:$A$97=$A22),(Colles!F$2:F$97=$B22),(Colles!$B$2:$B$97)),"")</f>
        <v>9</v>
      </c>
      <c r="K22" s="103">
        <f>if(sumproduct((Colles!$A$2:$A$97=$A22),(Colles!G$2:G$97=$B22),(Colles!$B$2:$B$97))&gt;0,sumproduct((Colles!$A$2:$A$97=$A22),(Colles!G$2:G$97=$B22),(Colles!$B$2:$B$97)),"")</f>
        <v>8</v>
      </c>
      <c r="L22" s="34"/>
      <c r="M22" s="32">
        <f>if(sumproduct((Colles!$A$2:$A$97=$A22),(Colles!I$2:I$97=$B22),(Colles!$B$2:$B$97))&gt;0,sumproduct((Colles!$A$2:$A$97=$A22),(Colles!I$2:I$97=$B22),(Colles!$B$2:$B$97)),"")</f>
        <v>13</v>
      </c>
      <c r="N22" s="103">
        <f>if(sumproduct((Colles!$A$2:$A$97=$A22),(Colles!J$2:J$97=$B22),(Colles!$B$2:$B$97))&gt;0,sumproduct((Colles!$A$2:$A$97=$A22),(Colles!J$2:J$97=$B22),(Colles!$B$2:$B$97)),"")</f>
        <v>2</v>
      </c>
      <c r="O22" s="32">
        <f>if(sumproduct((Colles!$A$2:$A$97=$A22),(Colles!K$2:K$97=$B22),(Colles!$B$2:$B$97))&gt;0,sumproduct((Colles!$A$2:$A$97=$A22),(Colles!K$2:K$97=$B22),(Colles!$B$2:$B$97)),"")</f>
        <v>13</v>
      </c>
      <c r="P22" s="103">
        <f>if(sumproduct((Colles!$A$2:$A$97=$A22),(Colles!L$2:L$97=$B22),(Colles!$B$2:$B$97))&gt;0,sumproduct((Colles!$A$2:$A$97=$A22),(Colles!L$2:L$97=$B22),(Colles!$B$2:$B$97)),"")</f>
        <v>4</v>
      </c>
      <c r="Q22" s="32">
        <f>if(sumproduct((Colles!$A$2:$A$97=$A22),(Colles!M$2:M$97=$B22),(Colles!$B$2:$B$97))&gt;0,sumproduct((Colles!$A$2:$A$97=$A22),(Colles!M$2:M$97=$B22),(Colles!$B$2:$B$97)),"")</f>
        <v>11</v>
      </c>
      <c r="R22" s="103">
        <f>if(sumproduct((Colles!$A$2:$A$97=$A22),(Colles!N$2:N$97=$B22),(Colles!$B$2:$B$97))&gt;0,sumproduct((Colles!$A$2:$A$97=$A22),(Colles!N$2:N$97=$B22),(Colles!$B$2:$B$97)),"")</f>
        <v>6</v>
      </c>
      <c r="S22" s="32">
        <f>if(sumproduct((Colles!$A$2:$A$97=$A22),(Colles!O$2:O$97=$B22),(Colles!$B$2:$B$97))&gt;0,sumproduct((Colles!$A$2:$A$97=$A22),(Colles!O$2:O$97=$B22),(Colles!$B$2:$B$97)),"")</f>
        <v>13</v>
      </c>
      <c r="T22" s="34"/>
      <c r="U22" s="34" t="str">
        <f>if(sumproduct((Colles!$A$2:$A$97=$A22),(Colles!Q$2:Q$97=$B22),(Colles!$B$2:$B$97))&gt;0,sumproduct((Colles!$A$2:$A$97=$A22),(Colles!Q$2:Q$97=$B22),(Colles!$B$2:$B$97)),"")</f>
        <v/>
      </c>
      <c r="V22" s="103">
        <f>if(sumproduct((Colles!$A$2:$A$97=$A22),(Colles!R$2:R$97=$B22),(Colles!$B$2:$B$97))&gt;0,sumproduct((Colles!$A$2:$A$97=$A22),(Colles!R$2:R$97=$B22),(Colles!$B$2:$B$97)),"")</f>
        <v>10</v>
      </c>
      <c r="W22" s="32">
        <f>if(sumproduct((Colles!$A$2:$A$97=$A22),(Colles!S$2:S$97=$B22),(Colles!$B$2:$B$97))&gt;0,sumproduct((Colles!$A$2:$A$97=$A22),(Colles!S$2:S$97=$B22),(Colles!$B$2:$B$97)),"")</f>
        <v>3</v>
      </c>
      <c r="Y22" s="1">
        <f t="shared" ref="Y22:Y25" si="13">Y21</f>
        <v>1</v>
      </c>
      <c r="Z22" s="114" t="str">
        <f t="array" ref="Z22">IF(ISERROR(ADDRESS(SUMPRODUCT('Trinômes'!$B$2:$B$48=Y22,'Trinômes'!$C$2:$C$48=COUNTIF(Y$21:Y22,"="&amp;Y22)-1
,ROW('Trinômes'!$A$2:$A$48)),COLUMN('Trinômes'!$A$1)-COLUMN('Trinômes'!$A$1)+1)),"",indirect("Trinômes!"&amp;ADDRESS(SUMPRODUCT('Trinômes'!$B$2:$B$48=Y22,'Trinômes'!$C$2:$C$48=COUNTIF(Y$21:Y22,"="&amp;Y22)-1
,ROW('Trinômes'!$A$2:$A$48)),COLUMN('Trinômes'!$A$1)-COLUMN('Trinômes'!$A$1)+1)))</f>
        <v>ALDEHUELO--LESINSKI Axel</v>
      </c>
      <c r="AA22" s="1">
        <f t="shared" ref="AA22:AA25" si="14">AA21</f>
        <v>2</v>
      </c>
      <c r="AB22" s="114" t="str">
        <f t="array" ref="AB22">IF(ISERROR(ADDRESS(SUMPRODUCT('Trinômes'!$B$2:$B$48=AA22,'Trinômes'!$C$2:$C$48=COUNTIF(AA$21:AA22,"="&amp;AA22)-1
,ROW('Trinômes'!$A$2:$A$48)),COLUMN('Trinômes'!$A$1)-COLUMN('Trinômes'!$A$1)+1)),"",indirect("Trinômes!"&amp;ADDRESS(SUMPRODUCT('Trinômes'!$B$2:$B$48=AA22,'Trinômes'!$C$2:$C$48=COUNTIF(AA$21:AA22,"="&amp;AA22)-1
,ROW('Trinômes'!$A$2:$A$48)),COLUMN('Trinômes'!$A$1)-COLUMN('Trinômes'!$A$1)+1)))</f>
        <v>BONNEVAL Lucie</v>
      </c>
    </row>
    <row r="23">
      <c r="A23" s="5" t="str">
        <f>'Créneaux'!E6</f>
        <v>Mathématiques</v>
      </c>
      <c r="B23" s="30">
        <f>'Créneaux'!F6</f>
        <v>5</v>
      </c>
      <c r="C23" s="101" t="str">
        <f>'Créneaux'!G6</f>
        <v>M. Ghiberti</v>
      </c>
      <c r="D23" s="32" t="str">
        <f>switch('Créneaux'!H6,0,"Lundi",1,"Mardi",2,"Mercredi",3,"Jeudi",4,"Vendredi")</f>
        <v>Lundi</v>
      </c>
      <c r="E23" s="32" t="str">
        <f>'Créneaux'!I6&amp;"h"</f>
        <v>17h</v>
      </c>
      <c r="F23" s="32" t="str">
        <f>'Créneaux'!J6</f>
        <v>K22</v>
      </c>
      <c r="G23" s="34" t="str">
        <f>if(sumproduct((Colles!$A$2:$A$97=$A23),(Colles!C$2:C$97=$B23),(Colles!$B$2:$B$97))&gt;0,sumproduct((Colles!$A$2:$A$97=$A23),(Colles!C$2:C$97=$B23),(Colles!$B$2:$B$97)),"")</f>
        <v/>
      </c>
      <c r="H23" s="32">
        <f>if(sumproduct((Colles!$A$2:$A$97=$A23),(Colles!D$2:D$97=$B23),(Colles!$B$2:$B$97))&gt;0,sumproduct((Colles!$A$2:$A$97=$A23),(Colles!D$2:D$97=$B23),(Colles!$B$2:$B$97)),"")</f>
        <v>7</v>
      </c>
      <c r="I23" s="103">
        <f>if(sumproduct((Colles!$A$2:$A$97=$A23),(Colles!E$2:E$97=$B23),(Colles!$B$2:$B$97))&gt;0,sumproduct((Colles!$A$2:$A$97=$A23),(Colles!E$2:E$97=$B23),(Colles!$B$2:$B$97)),"")</f>
        <v>10</v>
      </c>
      <c r="J23" s="32">
        <f>if(sumproduct((Colles!$A$2:$A$97=$A23),(Colles!F$2:F$97=$B23),(Colles!$B$2:$B$97))&gt;0,sumproduct((Colles!$A$2:$A$97=$A23),(Colles!F$2:F$97=$B23),(Colles!$B$2:$B$97)),"")</f>
        <v>3</v>
      </c>
      <c r="K23" s="103">
        <f>if(sumproduct((Colles!$A$2:$A$97=$A23),(Colles!G$2:G$97=$B23),(Colles!$B$2:$B$97))&gt;0,sumproduct((Colles!$A$2:$A$97=$A23),(Colles!G$2:G$97=$B23),(Colles!$B$2:$B$97)),"")</f>
        <v>16</v>
      </c>
      <c r="L23" s="34"/>
      <c r="M23" s="32">
        <f>if(sumproduct((Colles!$A$2:$A$97=$A23),(Colles!I$2:I$97=$B23),(Colles!$B$2:$B$97))&gt;0,sumproduct((Colles!$A$2:$A$97=$A23),(Colles!I$2:I$97=$B23),(Colles!$B$2:$B$97)),"")</f>
        <v>1</v>
      </c>
      <c r="N23" s="103">
        <f>if(sumproduct((Colles!$A$2:$A$97=$A23),(Colles!J$2:J$97=$B23),(Colles!$B$2:$B$97))&gt;0,sumproduct((Colles!$A$2:$A$97=$A23),(Colles!J$2:J$97=$B23),(Colles!$B$2:$B$97)),"")</f>
        <v>14</v>
      </c>
      <c r="O23" s="32">
        <f>if(sumproduct((Colles!$A$2:$A$97=$A23),(Colles!K$2:K$97=$B23),(Colles!$B$2:$B$97))&gt;0,sumproduct((Colles!$A$2:$A$97=$A23),(Colles!K$2:K$97=$B23),(Colles!$B$2:$B$97)),"")</f>
        <v>3</v>
      </c>
      <c r="P23" s="103">
        <f>if(sumproduct((Colles!$A$2:$A$97=$A23),(Colles!L$2:L$97=$B23),(Colles!$B$2:$B$97))&gt;0,sumproduct((Colles!$A$2:$A$97=$A23),(Colles!L$2:L$97=$B23),(Colles!$B$2:$B$97)),"")</f>
        <v>12</v>
      </c>
      <c r="Q23" s="32">
        <f>if(sumproduct((Colles!$A$2:$A$97=$A23),(Colles!M$2:M$97=$B23),(Colles!$B$2:$B$97))&gt;0,sumproduct((Colles!$A$2:$A$97=$A23),(Colles!M$2:M$97=$B23),(Colles!$B$2:$B$97)),"")</f>
        <v>7</v>
      </c>
      <c r="R23" s="103">
        <f>if(sumproduct((Colles!$A$2:$A$97=$A23),(Colles!N$2:N$97=$B23),(Colles!$B$2:$B$97))&gt;0,sumproduct((Colles!$A$2:$A$97=$A23),(Colles!N$2:N$97=$B23),(Colles!$B$2:$B$97)),"")</f>
        <v>16</v>
      </c>
      <c r="S23" s="32">
        <f>if(sumproduct((Colles!$A$2:$A$97=$A23),(Colles!O$2:O$97=$B23),(Colles!$B$2:$B$97))&gt;0,sumproduct((Colles!$A$2:$A$97=$A23),(Colles!O$2:O$97=$B23),(Colles!$B$2:$B$97)),"")</f>
        <v>5</v>
      </c>
      <c r="T23" s="34"/>
      <c r="U23" s="34" t="str">
        <f>if(sumproduct((Colles!$A$2:$A$97=$A23),(Colles!Q$2:Q$97=$B23),(Colles!$B$2:$B$97))&gt;0,sumproduct((Colles!$A$2:$A$97=$A23),(Colles!Q$2:Q$97=$B23),(Colles!$B$2:$B$97)),"")</f>
        <v/>
      </c>
      <c r="V23" s="103">
        <f>if(sumproduct((Colles!$A$2:$A$97=$A23),(Colles!R$2:R$97=$B23),(Colles!$B$2:$B$97))&gt;0,sumproduct((Colles!$A$2:$A$97=$A23),(Colles!R$2:R$97=$B23),(Colles!$B$2:$B$97)),"")</f>
        <v>8</v>
      </c>
      <c r="W23" s="32">
        <f>if(sumproduct((Colles!$A$2:$A$97=$A23),(Colles!S$2:S$97=$B23),(Colles!$B$2:$B$97))&gt;0,sumproduct((Colles!$A$2:$A$97=$A23),(Colles!S$2:S$97=$B23),(Colles!$B$2:$B$97)),"")</f>
        <v>13</v>
      </c>
      <c r="Y23" s="1">
        <f t="shared" si="13"/>
        <v>1</v>
      </c>
      <c r="Z23" s="114" t="str">
        <f t="array" ref="Z23">IF(ISERROR(ADDRESS(SUMPRODUCT('Trinômes'!$B$2:$B$48=Y23,'Trinômes'!$C$2:$C$48=COUNTIF(Y$21:Y23,"="&amp;Y23)-1
,ROW('Trinômes'!$A$2:$A$48)),COLUMN('Trinômes'!$A$1)-COLUMN('Trinômes'!$A$1)+1)),"",indirect("Trinômes!"&amp;ADDRESS(SUMPRODUCT('Trinômes'!$B$2:$B$48=Y23,'Trinômes'!$C$2:$C$48=COUNTIF(Y$21:Y23,"="&amp;Y23)-1
,ROW('Trinômes'!$A$2:$A$48)),COLUMN('Trinômes'!$A$1)-COLUMN('Trinômes'!$A$1)+1)))</f>
        <v>ALEXANDRE Romeo</v>
      </c>
      <c r="AA23" s="1">
        <f t="shared" si="14"/>
        <v>2</v>
      </c>
      <c r="AB23" s="114" t="str">
        <f t="array" ref="AB23">IF(ISERROR(ADDRESS(SUMPRODUCT('Trinômes'!$B$2:$B$48=AA23,'Trinômes'!$C$2:$C$48=COUNTIF(AA$21:AA23,"="&amp;AA23)-1
,ROW('Trinômes'!$A$2:$A$48)),COLUMN('Trinômes'!$A$1)-COLUMN('Trinômes'!$A$1)+1)),"",indirect("Trinômes!"&amp;ADDRESS(SUMPRODUCT('Trinômes'!$B$2:$B$48=AA23,'Trinômes'!$C$2:$C$48=COUNTIF(AA$21:AA23,"="&amp;AA23)-1
,ROW('Trinômes'!$A$2:$A$48)),COLUMN('Trinômes'!$A$1)-COLUMN('Trinômes'!$A$1)+1)))</f>
        <v>BOURDIER Alexandre</v>
      </c>
    </row>
    <row r="24">
      <c r="A24" s="5" t="str">
        <f>'Créneaux'!E7</f>
        <v>Mathématiques</v>
      </c>
      <c r="B24" s="30">
        <f>'Créneaux'!F7</f>
        <v>6</v>
      </c>
      <c r="C24" s="101" t="str">
        <f>'Créneaux'!G7</f>
        <v>Mme Peyrelevade</v>
      </c>
      <c r="D24" s="32" t="str">
        <f>switch('Créneaux'!H7,0,"Lundi",1,"Mardi",2,"Mercredi",3,"Jeudi",4,"Vendredi")</f>
        <v>Jeudi</v>
      </c>
      <c r="E24" s="32" t="str">
        <f>'Créneaux'!I7&amp;"h"</f>
        <v>13h</v>
      </c>
      <c r="F24" s="32" t="str">
        <f>'Créneaux'!J7</f>
        <v>K22</v>
      </c>
      <c r="G24" s="34" t="str">
        <f>if(sumproduct((Colles!$A$2:$A$97=$A24),(Colles!C$2:C$97=$B24),(Colles!$B$2:$B$97))&gt;0,sumproduct((Colles!$A$2:$A$97=$A24),(Colles!C$2:C$97=$B24),(Colles!$B$2:$B$97)),"")</f>
        <v/>
      </c>
      <c r="H24" s="32">
        <f>if(sumproduct((Colles!$A$2:$A$97=$A24),(Colles!D$2:D$97=$B24),(Colles!$B$2:$B$97))&gt;0,sumproduct((Colles!$A$2:$A$97=$A24),(Colles!D$2:D$97=$B24),(Colles!$B$2:$B$97)),"")</f>
        <v>9</v>
      </c>
      <c r="I24" s="103">
        <f>if(sumproduct((Colles!$A$2:$A$97=$A24),(Colles!E$2:E$97=$B24),(Colles!$B$2:$B$97))&gt;0,sumproduct((Colles!$A$2:$A$97=$A24),(Colles!E$2:E$97=$B24),(Colles!$B$2:$B$97)),"")</f>
        <v>2</v>
      </c>
      <c r="J24" s="32">
        <f>if(sumproduct((Colles!$A$2:$A$97=$A24),(Colles!F$2:F$97=$B24),(Colles!$B$2:$B$97))&gt;0,sumproduct((Colles!$A$2:$A$97=$A24),(Colles!F$2:F$97=$B24),(Colles!$B$2:$B$97)),"")</f>
        <v>15</v>
      </c>
      <c r="K24" s="103">
        <f>if(sumproduct((Colles!$A$2:$A$97=$A24),(Colles!G$2:G$97=$B24),(Colles!$B$2:$B$97))&gt;0,sumproduct((Colles!$A$2:$A$97=$A24),(Colles!G$2:G$97=$B24),(Colles!$B$2:$B$97)),"")</f>
        <v>4</v>
      </c>
      <c r="L24" s="34"/>
      <c r="M24" s="32">
        <f>if(sumproduct((Colles!$A$2:$A$97=$A24),(Colles!I$2:I$97=$B24),(Colles!$B$2:$B$97))&gt;0,sumproduct((Colles!$A$2:$A$97=$A24),(Colles!I$2:I$97=$B24),(Colles!$B$2:$B$97)),"")</f>
        <v>7</v>
      </c>
      <c r="N24" s="103">
        <f>if(sumproduct((Colles!$A$2:$A$97=$A24),(Colles!J$2:J$97=$B24),(Colles!$B$2:$B$97))&gt;0,sumproduct((Colles!$A$2:$A$97=$A24),(Colles!J$2:J$97=$B24),(Colles!$B$2:$B$97)),"")</f>
        <v>6</v>
      </c>
      <c r="O24" s="32">
        <f>if(sumproduct((Colles!$A$2:$A$97=$A24),(Colles!K$2:K$97=$B24),(Colles!$B$2:$B$97))&gt;0,sumproduct((Colles!$A$2:$A$97=$A24),(Colles!K$2:K$97=$B24),(Colles!$B$2:$B$97)),"")</f>
        <v>15</v>
      </c>
      <c r="P24" s="103">
        <f>if(sumproduct((Colles!$A$2:$A$97=$A24),(Colles!L$2:L$97=$B24),(Colles!$B$2:$B$97))&gt;0,sumproduct((Colles!$A$2:$A$97=$A24),(Colles!L$2:L$97=$B24),(Colles!$B$2:$B$97)),"")</f>
        <v>8</v>
      </c>
      <c r="Q24" s="32">
        <f>if(sumproduct((Colles!$A$2:$A$97=$A24),(Colles!M$2:M$97=$B24),(Colles!$B$2:$B$97))&gt;0,sumproduct((Colles!$A$2:$A$97=$A24),(Colles!M$2:M$97=$B24),(Colles!$B$2:$B$97)),"")</f>
        <v>9</v>
      </c>
      <c r="R24" s="103">
        <f>if(sumproduct((Colles!$A$2:$A$97=$A24),(Colles!N$2:N$97=$B24),(Colles!$B$2:$B$97))&gt;0,sumproduct((Colles!$A$2:$A$97=$A24),(Colles!N$2:N$97=$B24),(Colles!$B$2:$B$97)),"")</f>
        <v>2</v>
      </c>
      <c r="S24" s="32">
        <f>if(sumproduct((Colles!$A$2:$A$97=$A24),(Colles!O$2:O$97=$B24),(Colles!$B$2:$B$97))&gt;0,sumproduct((Colles!$A$2:$A$97=$A24),(Colles!O$2:O$97=$B24),(Colles!$B$2:$B$97)),"")</f>
        <v>15</v>
      </c>
      <c r="T24" s="34"/>
      <c r="U24" s="34" t="str">
        <f>if(sumproduct((Colles!$A$2:$A$97=$A24),(Colles!Q$2:Q$97=$B24),(Colles!$B$2:$B$97))&gt;0,sumproduct((Colles!$A$2:$A$97=$A24),(Colles!Q$2:Q$97=$B24),(Colles!$B$2:$B$97)),"")</f>
        <v/>
      </c>
      <c r="V24" s="103">
        <f>if(sumproduct((Colles!$A$2:$A$97=$A24),(Colles!R$2:R$97=$B24),(Colles!$B$2:$B$97))&gt;0,sumproduct((Colles!$A$2:$A$97=$A24),(Colles!R$2:R$97=$B24),(Colles!$B$2:$B$97)),"")</f>
        <v>14</v>
      </c>
      <c r="W24" s="32">
        <f>if(sumproduct((Colles!$A$2:$A$97=$A24),(Colles!S$2:S$97=$B24),(Colles!$B$2:$B$97))&gt;0,sumproduct((Colles!$A$2:$A$97=$A24),(Colles!S$2:S$97=$B24),(Colles!$B$2:$B$97)),"")</f>
        <v>7</v>
      </c>
      <c r="Y24" s="1">
        <f t="shared" si="13"/>
        <v>1</v>
      </c>
      <c r="Z24" s="114" t="str">
        <f t="array" ref="Z24">IF(ISERROR(ADDRESS(SUMPRODUCT('Trinômes'!$B$2:$B$48=Y24,'Trinômes'!$C$2:$C$48=COUNTIF(Y$21:Y24,"="&amp;Y24)-1
,ROW('Trinômes'!$A$2:$A$48)),COLUMN('Trinômes'!$A$1)-COLUMN('Trinômes'!$A$1)+1)),"",indirect("Trinômes!"&amp;ADDRESS(SUMPRODUCT('Trinômes'!$B$2:$B$48=Y24,'Trinômes'!$C$2:$C$48=COUNTIF(Y$21:Y24,"="&amp;Y24)-1
,ROW('Trinômes'!$A$2:$A$48)),COLUMN('Trinômes'!$A$1)-COLUMN('Trinômes'!$A$1)+1)))</f>
        <v>BIGATI Jules</v>
      </c>
      <c r="AA24" s="1">
        <f t="shared" si="14"/>
        <v>2</v>
      </c>
      <c r="AB24" s="114" t="str">
        <f t="array" ref="AB24">IF(ISERROR(ADDRESS(SUMPRODUCT('Trinômes'!$B$2:$B$48=AA24,'Trinômes'!$C$2:$C$48=COUNTIF(AA$21:AA24,"="&amp;AA24)-1
,ROW('Trinômes'!$A$2:$A$48)),COLUMN('Trinômes'!$A$1)-COLUMN('Trinômes'!$A$1)+1)),"",indirect("Trinômes!"&amp;ADDRESS(SUMPRODUCT('Trinômes'!$B$2:$B$48=AA24,'Trinômes'!$C$2:$C$48=COUNTIF(AA$21:AA24,"="&amp;AA24)-1
,ROW('Trinômes'!$A$2:$A$48)),COLUMN('Trinômes'!$A$1)-COLUMN('Trinômes'!$A$1)+1)))</f>
        <v>BROWNE Nora</v>
      </c>
    </row>
    <row r="25">
      <c r="A25" s="5" t="str">
        <f>'Créneaux'!E8</f>
        <v>Mathématiques</v>
      </c>
      <c r="B25" s="30">
        <f>'Créneaux'!F8</f>
        <v>7</v>
      </c>
      <c r="C25" s="101" t="str">
        <f>'Créneaux'!G8</f>
        <v>Mme Royer</v>
      </c>
      <c r="D25" s="32" t="str">
        <f>switch('Créneaux'!H8,0,"Lundi",1,"Mardi",2,"Mercredi",3,"Jeudi",4,"Vendredi")</f>
        <v>Jeudi</v>
      </c>
      <c r="E25" s="32" t="str">
        <f>'Créneaux'!I8&amp;"h"</f>
        <v>17h</v>
      </c>
      <c r="F25" s="32" t="str">
        <f>'Créneaux'!J8</f>
        <v>Prépa 22</v>
      </c>
      <c r="G25" s="34" t="str">
        <f>if(sumproduct((Colles!$A$2:$A$97=$A25),(Colles!C$2:C$97=$B25),(Colles!$B$2:$B$97))&gt;0,sumproduct((Colles!$A$2:$A$97=$A25),(Colles!C$2:C$97=$B25),(Colles!$B$2:$B$97)),"")</f>
        <v/>
      </c>
      <c r="H25" s="32">
        <f>if(sumproduct((Colles!$A$2:$A$97=$A25),(Colles!D$2:D$97=$B25),(Colles!$B$2:$B$97))&gt;0,sumproduct((Colles!$A$2:$A$97=$A25),(Colles!D$2:D$97=$B25),(Colles!$B$2:$B$97)),"")</f>
        <v>13</v>
      </c>
      <c r="I25" s="103">
        <f>if(sumproduct((Colles!$A$2:$A$97=$A25),(Colles!E$2:E$97=$B25),(Colles!$B$2:$B$97))&gt;0,sumproduct((Colles!$A$2:$A$97=$A25),(Colles!E$2:E$97=$B25),(Colles!$B$2:$B$97)),"")</f>
        <v>8</v>
      </c>
      <c r="J25" s="32">
        <f>if(sumproduct((Colles!$A$2:$A$97=$A25),(Colles!F$2:F$97=$B25),(Colles!$B$2:$B$97))&gt;0,sumproduct((Colles!$A$2:$A$97=$A25),(Colles!F$2:F$97=$B25),(Colles!$B$2:$B$97)),"")</f>
        <v>11</v>
      </c>
      <c r="K25" s="103">
        <f>if(sumproduct((Colles!$A$2:$A$97=$A25),(Colles!G$2:G$97=$B25),(Colles!$B$2:$B$97))&gt;0,sumproduct((Colles!$A$2:$A$97=$A25),(Colles!G$2:G$97=$B25),(Colles!$B$2:$B$97)),"")</f>
        <v>2</v>
      </c>
      <c r="L25" s="34"/>
      <c r="M25" s="32">
        <f>if(sumproduct((Colles!$A$2:$A$97=$A25),(Colles!I$2:I$97=$B25),(Colles!$B$2:$B$97))&gt;0,sumproduct((Colles!$A$2:$A$97=$A25),(Colles!I$2:I$97=$B25),(Colles!$B$2:$B$97)),"")</f>
        <v>9</v>
      </c>
      <c r="N25" s="103">
        <f>if(sumproduct((Colles!$A$2:$A$97=$A25),(Colles!J$2:J$97=$B25),(Colles!$B$2:$B$97))&gt;0,sumproduct((Colles!$A$2:$A$97=$A25),(Colles!J$2:J$97=$B25),(Colles!$B$2:$B$97)),"")</f>
        <v>4</v>
      </c>
      <c r="O25" s="32">
        <f>if(sumproduct((Colles!$A$2:$A$97=$A25),(Colles!K$2:K$97=$B25),(Colles!$B$2:$B$97))&gt;0,sumproduct((Colles!$A$2:$A$97=$A25),(Colles!K$2:K$97=$B25),(Colles!$B$2:$B$97)),"")</f>
        <v>11</v>
      </c>
      <c r="P25" s="103">
        <f>if(sumproduct((Colles!$A$2:$A$97=$A25),(Colles!L$2:L$97=$B25),(Colles!$B$2:$B$97))&gt;0,sumproduct((Colles!$A$2:$A$97=$A25),(Colles!L$2:L$97=$B25),(Colles!$B$2:$B$97)),"")</f>
        <v>6</v>
      </c>
      <c r="Q25" s="32">
        <f>if(sumproduct((Colles!$A$2:$A$97=$A25),(Colles!M$2:M$97=$B25),(Colles!$B$2:$B$97))&gt;0,sumproduct((Colles!$A$2:$A$97=$A25),(Colles!M$2:M$97=$B25),(Colles!$B$2:$B$97)),"")</f>
        <v>13</v>
      </c>
      <c r="R25" s="103">
        <f>if(sumproduct((Colles!$A$2:$A$97=$A25),(Colles!N$2:N$97=$B25),(Colles!$B$2:$B$97))&gt;0,sumproduct((Colles!$A$2:$A$97=$A25),(Colles!N$2:N$97=$B25),(Colles!$B$2:$B$97)),"")</f>
        <v>8</v>
      </c>
      <c r="S25" s="32">
        <f>if(sumproduct((Colles!$A$2:$A$97=$A25),(Colles!O$2:O$97=$B25),(Colles!$B$2:$B$97))&gt;0,sumproduct((Colles!$A$2:$A$97=$A25),(Colles!O$2:O$97=$B25),(Colles!$B$2:$B$97)),"")</f>
        <v>11</v>
      </c>
      <c r="T25" s="34"/>
      <c r="U25" s="34" t="str">
        <f>if(sumproduct((Colles!$A$2:$A$97=$A25),(Colles!Q$2:Q$97=$B25),(Colles!$B$2:$B$97))&gt;0,sumproduct((Colles!$A$2:$A$97=$A25),(Colles!Q$2:Q$97=$B25),(Colles!$B$2:$B$97)),"")</f>
        <v/>
      </c>
      <c r="V25" s="103">
        <f>if(sumproduct((Colles!$A$2:$A$97=$A25),(Colles!R$2:R$97=$B25),(Colles!$B$2:$B$97))&gt;0,sumproduct((Colles!$A$2:$A$97=$A25),(Colles!R$2:R$97=$B25),(Colles!$B$2:$B$97)),"")</f>
        <v>12</v>
      </c>
      <c r="W25" s="32">
        <f>if(sumproduct((Colles!$A$2:$A$97=$A25),(Colles!S$2:S$97=$B25),(Colles!$B$2:$B$97))&gt;0,sumproduct((Colles!$A$2:$A$97=$A25),(Colles!S$2:S$97=$B25),(Colles!$B$2:$B$97)),"")</f>
        <v>5</v>
      </c>
      <c r="Y25" s="1">
        <f t="shared" si="13"/>
        <v>1</v>
      </c>
      <c r="Z25" s="1"/>
      <c r="AA25" s="1">
        <f t="shared" si="14"/>
        <v>2</v>
      </c>
      <c r="AB25" s="1"/>
    </row>
    <row r="26">
      <c r="A26" s="5" t="str">
        <f>'Créneaux'!E9</f>
        <v>Mathématiques</v>
      </c>
      <c r="B26" s="30">
        <f>'Créneaux'!F9</f>
        <v>8</v>
      </c>
      <c r="C26" s="101" t="str">
        <f>'Créneaux'!G9</f>
        <v>Mme Royer</v>
      </c>
      <c r="D26" s="32" t="str">
        <f>switch('Créneaux'!H9,0,"Lundi",1,"Mardi",2,"Mercredi",3,"Jeudi",4,"Vendredi")</f>
        <v>Jeudi</v>
      </c>
      <c r="E26" s="32" t="str">
        <f>'Créneaux'!I9&amp;"h"</f>
        <v>18h</v>
      </c>
      <c r="F26" s="32" t="str">
        <f>'Créneaux'!J9</f>
        <v>Prépa 22</v>
      </c>
      <c r="G26" s="34" t="str">
        <f>if(sumproduct((Colles!$A$2:$A$97=$A26),(Colles!C$2:C$97=$B26),(Colles!$B$2:$B$97))&gt;0,sumproduct((Colles!$A$2:$A$97=$A26),(Colles!C$2:C$97=$B26),(Colles!$B$2:$B$97)),"")</f>
        <v/>
      </c>
      <c r="H26" s="32">
        <f>if(sumproduct((Colles!$A$2:$A$97=$A26),(Colles!D$2:D$97=$B26),(Colles!$B$2:$B$97))&gt;0,sumproduct((Colles!$A$2:$A$97=$A26),(Colles!D$2:D$97=$B26),(Colles!$B$2:$B$97)),"")</f>
        <v>5</v>
      </c>
      <c r="I26" s="103">
        <f>if(sumproduct((Colles!$A$2:$A$97=$A26),(Colles!E$2:E$97=$B26),(Colles!$B$2:$B$97))&gt;0,sumproduct((Colles!$A$2:$A$97=$A26),(Colles!E$2:E$97=$B26),(Colles!$B$2:$B$97)),"")</f>
        <v>12</v>
      </c>
      <c r="J26" s="32">
        <f>if(sumproduct((Colles!$A$2:$A$97=$A26),(Colles!F$2:F$97=$B26),(Colles!$B$2:$B$97))&gt;0,sumproduct((Colles!$A$2:$A$97=$A26),(Colles!F$2:F$97=$B26),(Colles!$B$2:$B$97)),"")</f>
        <v>1</v>
      </c>
      <c r="K26" s="103">
        <f>if(sumproduct((Colles!$A$2:$A$97=$A26),(Colles!G$2:G$97=$B26),(Colles!$B$2:$B$97))&gt;0,sumproduct((Colles!$A$2:$A$97=$A26),(Colles!G$2:G$97=$B26),(Colles!$B$2:$B$97)),"")</f>
        <v>14</v>
      </c>
      <c r="L26" s="34"/>
      <c r="M26" s="32">
        <f>if(sumproduct((Colles!$A$2:$A$97=$A26),(Colles!I$2:I$97=$B26),(Colles!$B$2:$B$97))&gt;0,sumproduct((Colles!$A$2:$A$97=$A26),(Colles!I$2:I$97=$B26),(Colles!$B$2:$B$97)),"")</f>
        <v>3</v>
      </c>
      <c r="N26" s="103">
        <f>if(sumproduct((Colles!$A$2:$A$97=$A26),(Colles!J$2:J$97=$B26),(Colles!$B$2:$B$97))&gt;0,sumproduct((Colles!$A$2:$A$97=$A26),(Colles!J$2:J$97=$B26),(Colles!$B$2:$B$97)),"")</f>
        <v>12</v>
      </c>
      <c r="O26" s="32">
        <f>if(sumproduct((Colles!$A$2:$A$97=$A26),(Colles!K$2:K$97=$B26),(Colles!$B$2:$B$97))&gt;0,sumproduct((Colles!$A$2:$A$97=$A26),(Colles!K$2:K$97=$B26),(Colles!$B$2:$B$97)),"")</f>
        <v>1</v>
      </c>
      <c r="P26" s="103">
        <f>if(sumproduct((Colles!$A$2:$A$97=$A26),(Colles!L$2:L$97=$B26),(Colles!$B$2:$B$97))&gt;0,sumproduct((Colles!$A$2:$A$97=$A26),(Colles!L$2:L$97=$B26),(Colles!$B$2:$B$97)),"")</f>
        <v>10</v>
      </c>
      <c r="Q26" s="32">
        <f>if(sumproduct((Colles!$A$2:$A$97=$A26),(Colles!M$2:M$97=$B26),(Colles!$B$2:$B$97))&gt;0,sumproduct((Colles!$A$2:$A$97=$A26),(Colles!M$2:M$97=$B26),(Colles!$B$2:$B$97)),"")</f>
        <v>5</v>
      </c>
      <c r="R26" s="103">
        <f>if(sumproduct((Colles!$A$2:$A$97=$A26),(Colles!N$2:N$97=$B26),(Colles!$B$2:$B$97))&gt;0,sumproduct((Colles!$A$2:$A$97=$A26),(Colles!N$2:N$97=$B26),(Colles!$B$2:$B$97)),"")</f>
        <v>12</v>
      </c>
      <c r="S26" s="32">
        <f>if(sumproduct((Colles!$A$2:$A$97=$A26),(Colles!O$2:O$97=$B26),(Colles!$B$2:$B$97))&gt;0,sumproduct((Colles!$A$2:$A$97=$A26),(Colles!O$2:O$97=$B26),(Colles!$B$2:$B$97)),"")</f>
        <v>1</v>
      </c>
      <c r="T26" s="34"/>
      <c r="U26" s="34" t="str">
        <f>if(sumproduct((Colles!$A$2:$A$97=$A26),(Colles!Q$2:Q$97=$B26),(Colles!$B$2:$B$97))&gt;0,sumproduct((Colles!$A$2:$A$97=$A26),(Colles!Q$2:Q$97=$B26),(Colles!$B$2:$B$97)),"")</f>
        <v/>
      </c>
      <c r="V26" s="103">
        <f>if(sumproduct((Colles!$A$2:$A$97=$A26),(Colles!R$2:R$97=$B26),(Colles!$B$2:$B$97))&gt;0,sumproduct((Colles!$A$2:$A$97=$A26),(Colles!R$2:R$97=$B26),(Colles!$B$2:$B$97)),"")</f>
        <v>6</v>
      </c>
      <c r="W26" s="32">
        <f>if(sumproduct((Colles!$A$2:$A$97=$A26),(Colles!S$2:S$97=$B26),(Colles!$B$2:$B$97))&gt;0,sumproduct((Colles!$A$2:$A$97=$A26),(Colles!S$2:S$97=$B26),(Colles!$B$2:$B$97)),"")</f>
        <v>11</v>
      </c>
      <c r="Y26" s="1">
        <f>AA21+1</f>
        <v>3</v>
      </c>
      <c r="Z26" s="111" t="str">
        <f>Y26&amp;IF(SUMPRODUCT('Trinômes'!$A$2:$A$48=Z27,'Trinômes'!$D$2:$D$48&lt;&gt;0)+SUMPRODUCT('Trinômes'!$A$2:$A$48=Z28,'Trinômes'!$D$2:$D$48&lt;&gt;0)+SUMPRODUCT('Trinômes'!$A$2:$A$48=Z29,'Trinômes'!$D$2:$D$48&lt;&gt;0)&gt;0," – LV2","")</f>
        <v>3</v>
      </c>
      <c r="AA26" s="112">
        <f>Y26+1</f>
        <v>4</v>
      </c>
      <c r="AB26" s="113" t="str">
        <f>AA26&amp;IF(SUMPRODUCT('Trinômes'!$A$2:$A$48=AB27,'Trinômes'!$D$2:$D$48&lt;&gt;0)+SUMPRODUCT('Trinômes'!$A$2:$A$48=AB28,'Trinômes'!$D$2:$D$48&lt;&gt;0)+SUMPRODUCT('Trinômes'!$A$2:$A$48=AB29,'Trinômes'!$D$2:$D$48&lt;&gt;0)&gt;0," – LV2","")</f>
        <v>4</v>
      </c>
    </row>
    <row r="27">
      <c r="A27" s="5"/>
      <c r="C27" s="115" t="str">
        <f>A28</f>
        <v>Anglais</v>
      </c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Y27" s="1">
        <f t="shared" ref="Y27:Y30" si="15">Y26</f>
        <v>3</v>
      </c>
      <c r="Z27" s="114" t="str">
        <f t="array" ref="Z27">IF(ISERROR(ADDRESS(SUMPRODUCT('Trinômes'!$B$2:$B$48=Y27,'Trinômes'!$C$2:$C$48=COUNTIF(Y$21:Y27,"="&amp;Y27)-1
,ROW('Trinômes'!$A$2:$A$48)),COLUMN('Trinômes'!$A$1)-COLUMN('Trinômes'!$A$1)+1)),"",indirect("Trinômes!"&amp;ADDRESS(SUMPRODUCT('Trinômes'!$B$2:$B$48=Y27,'Trinômes'!$C$2:$C$48=COUNTIF(Y$21:Y27,"="&amp;Y27)-1
,ROW('Trinômes'!$A$2:$A$48)),COLUMN('Trinômes'!$A$1)-COLUMN('Trinômes'!$A$1)+1)))</f>
        <v>BUGEA--GENOVESE Gaëtan</v>
      </c>
      <c r="AA27" s="1">
        <f t="shared" ref="AA27:AA30" si="16">AA26</f>
        <v>4</v>
      </c>
      <c r="AB27" s="114" t="str">
        <f t="array" ref="AB27">IF(ISERROR(ADDRESS(SUMPRODUCT('Trinômes'!$B$2:$B$48=AA27,'Trinômes'!$C$2:$C$48=COUNTIF(AA$21:AA27,"="&amp;AA27)-1
,ROW('Trinômes'!$A$2:$A$48)),COLUMN('Trinômes'!$A$1)-COLUMN('Trinômes'!$A$1)+1)),"",indirect("Trinômes!"&amp;ADDRESS(SUMPRODUCT('Trinômes'!$B$2:$B$48=AA27,'Trinômes'!$C$2:$C$48=COUNTIF(AA$21:AA27,"="&amp;AA27)-1
,ROW('Trinômes'!$A$2:$A$48)),COLUMN('Trinômes'!$A$1)-COLUMN('Trinômes'!$A$1)+1)))</f>
        <v>CASTAGNER Hugo</v>
      </c>
    </row>
    <row r="28">
      <c r="A28" s="5" t="str">
        <f>'Créneaux'!E10</f>
        <v>Anglais</v>
      </c>
      <c r="B28" s="30">
        <f>'Créneaux'!F10</f>
        <v>1</v>
      </c>
      <c r="C28" s="101" t="str">
        <f>'Créneaux'!G10</f>
        <v>Mme Calvin</v>
      </c>
      <c r="D28" s="32" t="str">
        <f>switch('Créneaux'!H10,0,"Lundi",1,"Mardi",2,"Mercredi",3,"Jeudi",4,"Vendredi")</f>
        <v>Lundi</v>
      </c>
      <c r="E28" s="32" t="str">
        <f>'Créneaux'!I10&amp;"h"</f>
        <v>16h</v>
      </c>
      <c r="F28" s="32" t="str">
        <f>'Créneaux'!J10</f>
        <v>Prépa 14</v>
      </c>
      <c r="G28" s="34" t="str">
        <f>if(sumproduct((Colles!$A$2:$A$97=$A28),(Colles!C$2:C$97=$B28),(Colles!$B$2:$B$97))&gt;0,sumproduct((Colles!$A$2:$A$97=$A28),(Colles!C$2:C$97=$B28),(Colles!$B$2:$B$97)),"")</f>
        <v/>
      </c>
      <c r="H28" s="32">
        <f>if(sumproduct((Colles!$A$2:$A$97=$A28),(Colles!D$2:D$97=$B28),(Colles!$B$2:$B$97))&gt;0,sumproduct((Colles!$A$2:$A$97=$A28),(Colles!D$2:D$97=$B28),(Colles!$B$2:$B$97)),"")</f>
        <v>9</v>
      </c>
      <c r="I28" s="103">
        <f>if(sumproduct((Colles!$A$2:$A$97=$A28),(Colles!E$2:E$97=$B28),(Colles!$B$2:$B$97))&gt;0,sumproduct((Colles!$A$2:$A$97=$A28),(Colles!E$2:E$97=$B28),(Colles!$B$2:$B$97)),"")</f>
        <v>2</v>
      </c>
      <c r="J28" s="32">
        <f>if(sumproduct((Colles!$A$2:$A$97=$A28),(Colles!F$2:F$97=$B28),(Colles!$B$2:$B$97))&gt;0,sumproduct((Colles!$A$2:$A$97=$A28),(Colles!F$2:F$97=$B28),(Colles!$B$2:$B$97)),"")</f>
        <v>15</v>
      </c>
      <c r="K28" s="103">
        <f>if(sumproduct((Colles!$A$2:$A$97=$A28),(Colles!G$2:G$97=$B28),(Colles!$B$2:$B$97))&gt;0,sumproduct((Colles!$A$2:$A$97=$A28),(Colles!G$2:G$97=$B28),(Colles!$B$2:$B$97)),"")</f>
        <v>4</v>
      </c>
      <c r="L28" s="34"/>
      <c r="M28" s="32">
        <f>if(sumproduct((Colles!$A$2:$A$97=$A28),(Colles!I$2:I$97=$B28),(Colles!$B$2:$B$97))&gt;0,sumproduct((Colles!$A$2:$A$97=$A28),(Colles!I$2:I$97=$B28),(Colles!$B$2:$B$97)),"")</f>
        <v>7</v>
      </c>
      <c r="N28" s="103">
        <f>if(sumproduct((Colles!$A$2:$A$97=$A28),(Colles!J$2:J$97=$B28),(Colles!$B$2:$B$97))&gt;0,sumproduct((Colles!$A$2:$A$97=$A28),(Colles!J$2:J$97=$B28),(Colles!$B$2:$B$97)),"")</f>
        <v>6</v>
      </c>
      <c r="O28" s="32">
        <f>if(sumproduct((Colles!$A$2:$A$97=$A28),(Colles!K$2:K$97=$B28),(Colles!$B$2:$B$97))&gt;0,sumproduct((Colles!$A$2:$A$97=$A28),(Colles!K$2:K$97=$B28),(Colles!$B$2:$B$97)),"")</f>
        <v>15</v>
      </c>
      <c r="P28" s="103">
        <f>if(sumproduct((Colles!$A$2:$A$97=$A28),(Colles!L$2:L$97=$B28),(Colles!$B$2:$B$97))&gt;0,sumproduct((Colles!$A$2:$A$97=$A28),(Colles!L$2:L$97=$B28),(Colles!$B$2:$B$97)),"")</f>
        <v>8</v>
      </c>
      <c r="Q28" s="32">
        <f>if(sumproduct((Colles!$A$2:$A$97=$A28),(Colles!M$2:M$97=$B28),(Colles!$B$2:$B$97))&gt;0,sumproduct((Colles!$A$2:$A$97=$A28),(Colles!M$2:M$97=$B28),(Colles!$B$2:$B$97)),"")</f>
        <v>9</v>
      </c>
      <c r="R28" s="103">
        <f>if(sumproduct((Colles!$A$2:$A$97=$A28),(Colles!N$2:N$97=$B28),(Colles!$B$2:$B$97))&gt;0,sumproduct((Colles!$A$2:$A$97=$A28),(Colles!N$2:N$97=$B28),(Colles!$B$2:$B$97)),"")</f>
        <v>2</v>
      </c>
      <c r="S28" s="32">
        <f>if(sumproduct((Colles!$A$2:$A$97=$A28),(Colles!O$2:O$97=$B28),(Colles!$B$2:$B$97))&gt;0,sumproduct((Colles!$A$2:$A$97=$A28),(Colles!O$2:O$97=$B28),(Colles!$B$2:$B$97)),"")</f>
        <v>15</v>
      </c>
      <c r="T28" s="34"/>
      <c r="U28" s="34" t="str">
        <f>if(sumproduct((Colles!$A$2:$A$97=$A28),(Colles!Q$2:Q$97=$B28),(Colles!$B$2:$B$97))&gt;0,sumproduct((Colles!$A$2:$A$97=$A28),(Colles!Q$2:Q$97=$B28),(Colles!$B$2:$B$97)),"")</f>
        <v/>
      </c>
      <c r="V28" s="103">
        <f>if(sumproduct((Colles!$A$2:$A$97=$A28),(Colles!R$2:R$97=$B28),(Colles!$B$2:$B$97))&gt;0,sumproduct((Colles!$A$2:$A$97=$A28),(Colles!R$2:R$97=$B28),(Colles!$B$2:$B$97)),"")</f>
        <v>14</v>
      </c>
      <c r="W28" s="32">
        <f>if(sumproduct((Colles!$A$2:$A$97=$A28),(Colles!S$2:S$97=$B28),(Colles!$B$2:$B$97))&gt;0,sumproduct((Colles!$A$2:$A$97=$A28),(Colles!S$2:S$97=$B28),(Colles!$B$2:$B$97)),"")</f>
        <v>7</v>
      </c>
      <c r="Y28" s="1">
        <f t="shared" si="15"/>
        <v>3</v>
      </c>
      <c r="Z28" s="114" t="str">
        <f t="array" ref="Z28">IF(ISERROR(ADDRESS(SUMPRODUCT('Trinômes'!$B$2:$B$48=Y28,'Trinômes'!$C$2:$C$48=COUNTIF(Y$21:Y28,"="&amp;Y28)-1
,ROW('Trinômes'!$A$2:$A$48)),COLUMN('Trinômes'!$A$1)-COLUMN('Trinômes'!$A$1)+1)),"",indirect("Trinômes!"&amp;ADDRESS(SUMPRODUCT('Trinômes'!$B$2:$B$48=Y28,'Trinômes'!$C$2:$C$48=COUNTIF(Y$21:Y28,"="&amp;Y28)-1
,ROW('Trinômes'!$A$2:$A$48)),COLUMN('Trinômes'!$A$1)-COLUMN('Trinômes'!$A$1)+1)))</f>
        <v>CALISTI Ange</v>
      </c>
      <c r="AA28" s="1">
        <f t="shared" si="16"/>
        <v>4</v>
      </c>
      <c r="AB28" s="114" t="str">
        <f t="array" ref="AB28">IF(ISERROR(ADDRESS(SUMPRODUCT('Trinômes'!$B$2:$B$48=AA28,'Trinômes'!$C$2:$C$48=COUNTIF(AA$21:AA28,"="&amp;AA28)-1
,ROW('Trinômes'!$A$2:$A$48)),COLUMN('Trinômes'!$A$1)-COLUMN('Trinômes'!$A$1)+1)),"",indirect("Trinômes!"&amp;ADDRESS(SUMPRODUCT('Trinômes'!$B$2:$B$48=AA28,'Trinômes'!$C$2:$C$48=COUNTIF(AA$21:AA28,"="&amp;AA28)-1
,ROW('Trinômes'!$A$2:$A$48)),COLUMN('Trinômes'!$A$1)-COLUMN('Trinômes'!$A$1)+1)))</f>
        <v>CATHALA Andrea</v>
      </c>
    </row>
    <row r="29">
      <c r="A29" s="5" t="str">
        <f>'Créneaux'!E11</f>
        <v>Anglais</v>
      </c>
      <c r="B29" s="30">
        <f>'Créneaux'!F11</f>
        <v>2</v>
      </c>
      <c r="C29" s="101" t="str">
        <f>'Créneaux'!G11</f>
        <v>Mme Calvin</v>
      </c>
      <c r="D29" s="32" t="str">
        <f>switch('Créneaux'!H11,0,"Lundi",1,"Mardi",2,"Mercredi",3,"Jeudi",4,"Vendredi")</f>
        <v>Mercredi</v>
      </c>
      <c r="E29" s="32" t="str">
        <f>'Créneaux'!I11&amp;"h"</f>
        <v>15h</v>
      </c>
      <c r="F29" s="32" t="str">
        <f>'Créneaux'!J11</f>
        <v>K25</v>
      </c>
      <c r="G29" s="34" t="str">
        <f>if(sumproduct((Colles!$A$2:$A$97=$A29),(Colles!C$2:C$97=$B29),(Colles!$B$2:$B$97))&gt;0,sumproduct((Colles!$A$2:$A$97=$A29),(Colles!C$2:C$97=$B29),(Colles!$B$2:$B$97)),"")</f>
        <v/>
      </c>
      <c r="H29" s="32">
        <f>if(sumproduct((Colles!$A$2:$A$97=$A29),(Colles!D$2:D$97=$B29),(Colles!$B$2:$B$97))&gt;0,sumproduct((Colles!$A$2:$A$97=$A29),(Colles!D$2:D$97=$B29),(Colles!$B$2:$B$97)),"")</f>
        <v>5</v>
      </c>
      <c r="I29" s="103">
        <f>if(sumproduct((Colles!$A$2:$A$97=$A29),(Colles!E$2:E$97=$B29),(Colles!$B$2:$B$97))&gt;0,sumproduct((Colles!$A$2:$A$97=$A29),(Colles!E$2:E$97=$B29),(Colles!$B$2:$B$97)),"")</f>
        <v>12</v>
      </c>
      <c r="J29" s="32">
        <f>if(sumproduct((Colles!$A$2:$A$97=$A29),(Colles!F$2:F$97=$B29),(Colles!$B$2:$B$97))&gt;0,sumproduct((Colles!$A$2:$A$97=$A29),(Colles!F$2:F$97=$B29),(Colles!$B$2:$B$97)),"")</f>
        <v>1</v>
      </c>
      <c r="K29" s="103">
        <f>if(sumproduct((Colles!$A$2:$A$97=$A29),(Colles!G$2:G$97=$B29),(Colles!$B$2:$B$97))&gt;0,sumproduct((Colles!$A$2:$A$97=$A29),(Colles!G$2:G$97=$B29),(Colles!$B$2:$B$97)),"")</f>
        <v>16</v>
      </c>
      <c r="L29" s="34"/>
      <c r="M29" s="32">
        <f>if(sumproduct((Colles!$A$2:$A$97=$A29),(Colles!I$2:I$97=$B29),(Colles!$B$2:$B$97))&gt;0,sumproduct((Colles!$A$2:$A$97=$A29),(Colles!I$2:I$97=$B29),(Colles!$B$2:$B$97)),"")</f>
        <v>3</v>
      </c>
      <c r="N29" s="103">
        <f>if(sumproduct((Colles!$A$2:$A$97=$A29),(Colles!J$2:J$97=$B29),(Colles!$B$2:$B$97))&gt;0,sumproduct((Colles!$A$2:$A$97=$A29),(Colles!J$2:J$97=$B29),(Colles!$B$2:$B$97)),"")</f>
        <v>12</v>
      </c>
      <c r="O29" s="32">
        <f>if(sumproduct((Colles!$A$2:$A$97=$A29),(Colles!K$2:K$97=$B29),(Colles!$B$2:$B$97))&gt;0,sumproduct((Colles!$A$2:$A$97=$A29),(Colles!K$2:K$97=$B29),(Colles!$B$2:$B$97)),"")</f>
        <v>1</v>
      </c>
      <c r="P29" s="103">
        <f>if(sumproduct((Colles!$A$2:$A$97=$A29),(Colles!L$2:L$97=$B29),(Colles!$B$2:$B$97))&gt;0,sumproduct((Colles!$A$2:$A$97=$A29),(Colles!L$2:L$97=$B29),(Colles!$B$2:$B$97)),"")</f>
        <v>10</v>
      </c>
      <c r="Q29" s="32">
        <f>if(sumproduct((Colles!$A$2:$A$97=$A29),(Colles!M$2:M$97=$B29),(Colles!$B$2:$B$97))&gt;0,sumproduct((Colles!$A$2:$A$97=$A29),(Colles!M$2:M$97=$B29),(Colles!$B$2:$B$97)),"")</f>
        <v>5</v>
      </c>
      <c r="R29" s="103">
        <f>if(sumproduct((Colles!$A$2:$A$97=$A29),(Colles!N$2:N$97=$B29),(Colles!$B$2:$B$97))&gt;0,sumproduct((Colles!$A$2:$A$97=$A29),(Colles!N$2:N$97=$B29),(Colles!$B$2:$B$97)),"")</f>
        <v>12</v>
      </c>
      <c r="S29" s="32">
        <f>if(sumproduct((Colles!$A$2:$A$97=$A29),(Colles!O$2:O$97=$B29),(Colles!$B$2:$B$97))&gt;0,sumproduct((Colles!$A$2:$A$97=$A29),(Colles!O$2:O$97=$B29),(Colles!$B$2:$B$97)),"")</f>
        <v>1</v>
      </c>
      <c r="T29" s="34"/>
      <c r="U29" s="34" t="str">
        <f>if(sumproduct((Colles!$A$2:$A$97=$A29),(Colles!Q$2:Q$97=$B29),(Colles!$B$2:$B$97))&gt;0,sumproduct((Colles!$A$2:$A$97=$A29),(Colles!Q$2:Q$97=$B29),(Colles!$B$2:$B$97)),"")</f>
        <v/>
      </c>
      <c r="V29" s="103">
        <f>if(sumproduct((Colles!$A$2:$A$97=$A29),(Colles!R$2:R$97=$B29),(Colles!$B$2:$B$97))&gt;0,sumproduct((Colles!$A$2:$A$97=$A29),(Colles!R$2:R$97=$B29),(Colles!$B$2:$B$97)),"")</f>
        <v>6</v>
      </c>
      <c r="W29" s="32">
        <f>if(sumproduct((Colles!$A$2:$A$97=$A29),(Colles!S$2:S$97=$B29),(Colles!$B$2:$B$97))&gt;0,sumproduct((Colles!$A$2:$A$97=$A29),(Colles!S$2:S$97=$B29),(Colles!$B$2:$B$97)),"")</f>
        <v>11</v>
      </c>
      <c r="Y29" s="1">
        <f t="shared" si="15"/>
        <v>3</v>
      </c>
      <c r="Z29" s="114" t="str">
        <f t="array" ref="Z29">IF(ISERROR(ADDRESS(SUMPRODUCT('Trinômes'!$B$2:$B$48=Y29,'Trinômes'!$C$2:$C$48=COUNTIF(Y$21:Y29,"="&amp;Y29)-1
,ROW('Trinômes'!$A$2:$A$48)),COLUMN('Trinômes'!$A$1)-COLUMN('Trinômes'!$A$1)+1)),"",indirect("Trinômes!"&amp;ADDRESS(SUMPRODUCT('Trinômes'!$B$2:$B$48=Y29,'Trinômes'!$C$2:$C$48=COUNTIF(Y$21:Y29,"="&amp;Y29)-1
,ROW('Trinômes'!$A$2:$A$48)),COLUMN('Trinômes'!$A$1)-COLUMN('Trinômes'!$A$1)+1)))</f>
        <v>CARNAILLE Alexis</v>
      </c>
      <c r="AA29" s="1">
        <f t="shared" si="16"/>
        <v>4</v>
      </c>
      <c r="AB29" s="114" t="str">
        <f t="array" ref="AB29">IF(ISERROR(ADDRESS(SUMPRODUCT('Trinômes'!$B$2:$B$48=AA29,'Trinômes'!$C$2:$C$48=COUNTIF(AA$21:AA29,"="&amp;AA29)-1
,ROW('Trinômes'!$A$2:$A$48)),COLUMN('Trinômes'!$A$1)-COLUMN('Trinômes'!$A$1)+1)),"",indirect("Trinômes!"&amp;ADDRESS(SUMPRODUCT('Trinômes'!$B$2:$B$48=AA29,'Trinômes'!$C$2:$C$48=COUNTIF(AA$21:AA29,"="&amp;AA29)-1
,ROW('Trinômes'!$A$2:$A$48)),COLUMN('Trinômes'!$A$1)-COLUMN('Trinômes'!$A$1)+1)))</f>
        <v>CESARI Elia</v>
      </c>
    </row>
    <row r="30">
      <c r="A30" s="5" t="str">
        <f>'Créneaux'!E12</f>
        <v>Anglais</v>
      </c>
      <c r="B30" s="30">
        <f>'Créneaux'!F12</f>
        <v>3</v>
      </c>
      <c r="C30" s="101" t="str">
        <f>'Créneaux'!G12</f>
        <v>M. Ceccarelli</v>
      </c>
      <c r="D30" s="32" t="str">
        <f>switch('Créneaux'!H12,0,"Lundi",1,"Mardi",2,"Mercredi",3,"Jeudi",4,"Vendredi")</f>
        <v>Mercredi</v>
      </c>
      <c r="E30" s="32" t="str">
        <f>'Créneaux'!I12&amp;"h"</f>
        <v>15h</v>
      </c>
      <c r="F30" s="32" t="str">
        <f>'Créneaux'!J12</f>
        <v>K24</v>
      </c>
      <c r="G30" s="34" t="str">
        <f>if(sumproduct((Colles!$A$2:$A$97=$A30),(Colles!C$2:C$97=$B30),(Colles!$B$2:$B$97))&gt;0,sumproduct((Colles!$A$2:$A$97=$A30),(Colles!C$2:C$97=$B30),(Colles!$B$2:$B$97)),"")</f>
        <v/>
      </c>
      <c r="H30" s="32">
        <f>if(sumproduct((Colles!$A$2:$A$97=$A30),(Colles!D$2:D$97=$B30),(Colles!$B$2:$B$97))&gt;0,sumproduct((Colles!$A$2:$A$97=$A30),(Colles!D$2:D$97=$B30),(Colles!$B$2:$B$97)),"")</f>
        <v>7</v>
      </c>
      <c r="I30" s="103">
        <f>if(sumproduct((Colles!$A$2:$A$97=$A30),(Colles!E$2:E$97=$B30),(Colles!$B$2:$B$97))&gt;0,sumproduct((Colles!$A$2:$A$97=$A30),(Colles!E$2:E$97=$B30),(Colles!$B$2:$B$97)),"")</f>
        <v>10</v>
      </c>
      <c r="J30" s="32">
        <f>if(sumproduct((Colles!$A$2:$A$97=$A30),(Colles!F$2:F$97=$B30),(Colles!$B$2:$B$97))&gt;0,sumproduct((Colles!$A$2:$A$97=$A30),(Colles!F$2:F$97=$B30),(Colles!$B$2:$B$97)),"")</f>
        <v>3</v>
      </c>
      <c r="K30" s="103">
        <f>if(sumproduct((Colles!$A$2:$A$97=$A30),(Colles!G$2:G$97=$B30),(Colles!$B$2:$B$97))&gt;0,sumproduct((Colles!$A$2:$A$97=$A30),(Colles!G$2:G$97=$B30),(Colles!$B$2:$B$97)),"")</f>
        <v>14</v>
      </c>
      <c r="L30" s="34"/>
      <c r="M30" s="32">
        <f>if(sumproduct((Colles!$A$2:$A$97=$A30),(Colles!I$2:I$97=$B30),(Colles!$B$2:$B$97))&gt;0,sumproduct((Colles!$A$2:$A$97=$A30),(Colles!I$2:I$97=$B30),(Colles!$B$2:$B$97)),"")</f>
        <v>9</v>
      </c>
      <c r="N30" s="103">
        <f>if(sumproduct((Colles!$A$2:$A$97=$A30),(Colles!J$2:J$97=$B30),(Colles!$B$2:$B$97))&gt;0,sumproduct((Colles!$A$2:$A$97=$A30),(Colles!J$2:J$97=$B30),(Colles!$B$2:$B$97)),"")</f>
        <v>14</v>
      </c>
      <c r="O30" s="32">
        <f>if(sumproduct((Colles!$A$2:$A$97=$A30),(Colles!K$2:K$97=$B30),(Colles!$B$2:$B$97))&gt;0,sumproduct((Colles!$A$2:$A$97=$A30),(Colles!K$2:K$97=$B30),(Colles!$B$2:$B$97)),"")</f>
        <v>3</v>
      </c>
      <c r="P30" s="103">
        <f>if(sumproduct((Colles!$A$2:$A$97=$A30),(Colles!L$2:L$97=$B30),(Colles!$B$2:$B$97))&gt;0,sumproduct((Colles!$A$2:$A$97=$A30),(Colles!L$2:L$97=$B30),(Colles!$B$2:$B$97)),"")</f>
        <v>12</v>
      </c>
      <c r="Q30" s="32">
        <f>if(sumproduct((Colles!$A$2:$A$97=$A30),(Colles!M$2:M$97=$B30),(Colles!$B$2:$B$97))&gt;0,sumproduct((Colles!$A$2:$A$97=$A30),(Colles!M$2:M$97=$B30),(Colles!$B$2:$B$97)),"")</f>
        <v>7</v>
      </c>
      <c r="R30" s="103">
        <f>if(sumproduct((Colles!$A$2:$A$97=$A30),(Colles!N$2:N$97=$B30),(Colles!$B$2:$B$97))&gt;0,sumproduct((Colles!$A$2:$A$97=$A30),(Colles!N$2:N$97=$B30),(Colles!$B$2:$B$97)),"")</f>
        <v>16</v>
      </c>
      <c r="S30" s="32">
        <f>if(sumproduct((Colles!$A$2:$A$97=$A30),(Colles!O$2:O$97=$B30),(Colles!$B$2:$B$97))&gt;0,sumproduct((Colles!$A$2:$A$97=$A30),(Colles!O$2:O$97=$B30),(Colles!$B$2:$B$97)),"")</f>
        <v>5</v>
      </c>
      <c r="T30" s="34"/>
      <c r="U30" s="34" t="str">
        <f>if(sumproduct((Colles!$A$2:$A$97=$A30),(Colles!Q$2:Q$97=$B30),(Colles!$B$2:$B$97))&gt;0,sumproduct((Colles!$A$2:$A$97=$A30),(Colles!Q$2:Q$97=$B30),(Colles!$B$2:$B$97)),"")</f>
        <v/>
      </c>
      <c r="V30" s="103">
        <f>if(sumproduct((Colles!$A$2:$A$97=$A30),(Colles!R$2:R$97=$B30),(Colles!$B$2:$B$97))&gt;0,sumproduct((Colles!$A$2:$A$97=$A30),(Colles!R$2:R$97=$B30),(Colles!$B$2:$B$97)),"")</f>
        <v>8</v>
      </c>
      <c r="W30" s="32">
        <f>if(sumproduct((Colles!$A$2:$A$97=$A30),(Colles!S$2:S$97=$B30),(Colles!$B$2:$B$97))&gt;0,sumproduct((Colles!$A$2:$A$97=$A30),(Colles!S$2:S$97=$B30),(Colles!$B$2:$B$97)),"")</f>
        <v>13</v>
      </c>
      <c r="Y30" s="1">
        <f t="shared" si="15"/>
        <v>3</v>
      </c>
      <c r="Z30" s="1"/>
      <c r="AA30" s="1">
        <f t="shared" si="16"/>
        <v>4</v>
      </c>
      <c r="AB30" s="1"/>
    </row>
    <row r="31">
      <c r="A31" s="5" t="str">
        <f>'Créneaux'!E13</f>
        <v>Anglais</v>
      </c>
      <c r="B31" s="30">
        <f>'Créneaux'!F13</f>
        <v>4</v>
      </c>
      <c r="C31" s="101" t="str">
        <f>'Créneaux'!G13</f>
        <v>M. Ceccarelli</v>
      </c>
      <c r="D31" s="32" t="str">
        <f>switch('Créneaux'!H13,0,"Lundi",1,"Mardi",2,"Mercredi",3,"Jeudi",4,"Vendredi")</f>
        <v>Mercredi</v>
      </c>
      <c r="E31" s="32" t="str">
        <f>'Créneaux'!I13&amp;"h"</f>
        <v>16h</v>
      </c>
      <c r="F31" s="32" t="str">
        <f>'Créneaux'!J13</f>
        <v>K24</v>
      </c>
      <c r="G31" s="34" t="str">
        <f>if(sumproduct((Colles!$A$2:$A$97=$A31),(Colles!C$2:C$97=$B31),(Colles!$B$2:$B$97))&gt;0,sumproduct((Colles!$A$2:$A$97=$A31),(Colles!C$2:C$97=$B31),(Colles!$B$2:$B$97)),"")</f>
        <v/>
      </c>
      <c r="H31" s="32">
        <f>if(sumproduct((Colles!$A$2:$A$97=$A31),(Colles!D$2:D$97=$B31),(Colles!$B$2:$B$97))&gt;0,sumproduct((Colles!$A$2:$A$97=$A31),(Colles!D$2:D$97=$B31),(Colles!$B$2:$B$97)),"")</f>
        <v>13</v>
      </c>
      <c r="I31" s="103">
        <f>if(sumproduct((Colles!$A$2:$A$97=$A31),(Colles!E$2:E$97=$B31),(Colles!$B$2:$B$97))&gt;0,sumproduct((Colles!$A$2:$A$97=$A31),(Colles!E$2:E$97=$B31),(Colles!$B$2:$B$97)),"")</f>
        <v>8</v>
      </c>
      <c r="J31" s="32">
        <f>if(sumproduct((Colles!$A$2:$A$97=$A31),(Colles!F$2:F$97=$B31),(Colles!$B$2:$B$97))&gt;0,sumproduct((Colles!$A$2:$A$97=$A31),(Colles!F$2:F$97=$B31),(Colles!$B$2:$B$97)),"")</f>
        <v>11</v>
      </c>
      <c r="K31" s="103">
        <f>if(sumproduct((Colles!$A$2:$A$97=$A31),(Colles!G$2:G$97=$B31),(Colles!$B$2:$B$97))&gt;0,sumproduct((Colles!$A$2:$A$97=$A31),(Colles!G$2:G$97=$B31),(Colles!$B$2:$B$97)),"")</f>
        <v>2</v>
      </c>
      <c r="L31" s="34"/>
      <c r="M31" s="32">
        <f>if(sumproduct((Colles!$A$2:$A$97=$A31),(Colles!I$2:I$97=$B31),(Colles!$B$2:$B$97))&gt;0,sumproduct((Colles!$A$2:$A$97=$A31),(Colles!I$2:I$97=$B31),(Colles!$B$2:$B$97)),"")</f>
        <v>1</v>
      </c>
      <c r="N31" s="103">
        <f>if(sumproduct((Colles!$A$2:$A$97=$A31),(Colles!J$2:J$97=$B31),(Colles!$B$2:$B$97))&gt;0,sumproduct((Colles!$A$2:$A$97=$A31),(Colles!J$2:J$97=$B31),(Colles!$B$2:$B$97)),"")</f>
        <v>4</v>
      </c>
      <c r="O31" s="32">
        <f>if(sumproduct((Colles!$A$2:$A$97=$A31),(Colles!K$2:K$97=$B31),(Colles!$B$2:$B$97))&gt;0,sumproduct((Colles!$A$2:$A$97=$A31),(Colles!K$2:K$97=$B31),(Colles!$B$2:$B$97)),"")</f>
        <v>11</v>
      </c>
      <c r="P31" s="103">
        <f>if(sumproduct((Colles!$A$2:$A$97=$A31),(Colles!L$2:L$97=$B31),(Colles!$B$2:$B$97))&gt;0,sumproduct((Colles!$A$2:$A$97=$A31),(Colles!L$2:L$97=$B31),(Colles!$B$2:$B$97)),"")</f>
        <v>6</v>
      </c>
      <c r="Q31" s="32">
        <f>if(sumproduct((Colles!$A$2:$A$97=$A31),(Colles!M$2:M$97=$B31),(Colles!$B$2:$B$97))&gt;0,sumproduct((Colles!$A$2:$A$97=$A31),(Colles!M$2:M$97=$B31),(Colles!$B$2:$B$97)),"")</f>
        <v>13</v>
      </c>
      <c r="R31" s="103">
        <f>if(sumproduct((Colles!$A$2:$A$97=$A31),(Colles!N$2:N$97=$B31),(Colles!$B$2:$B$97))&gt;0,sumproduct((Colles!$A$2:$A$97=$A31),(Colles!N$2:N$97=$B31),(Colles!$B$2:$B$97)),"")</f>
        <v>8</v>
      </c>
      <c r="S31" s="32">
        <f>if(sumproduct((Colles!$A$2:$A$97=$A31),(Colles!O$2:O$97=$B31),(Colles!$B$2:$B$97))&gt;0,sumproduct((Colles!$A$2:$A$97=$A31),(Colles!O$2:O$97=$B31),(Colles!$B$2:$B$97)),"")</f>
        <v>11</v>
      </c>
      <c r="T31" s="34"/>
      <c r="U31" s="34" t="str">
        <f>if(sumproduct((Colles!$A$2:$A$97=$A31),(Colles!Q$2:Q$97=$B31),(Colles!$B$2:$B$97))&gt;0,sumproduct((Colles!$A$2:$A$97=$A31),(Colles!Q$2:Q$97=$B31),(Colles!$B$2:$B$97)),"")</f>
        <v/>
      </c>
      <c r="V31" s="103">
        <f>if(sumproduct((Colles!$A$2:$A$97=$A31),(Colles!R$2:R$97=$B31),(Colles!$B$2:$B$97))&gt;0,sumproduct((Colles!$A$2:$A$97=$A31),(Colles!R$2:R$97=$B31),(Colles!$B$2:$B$97)),"")</f>
        <v>12</v>
      </c>
      <c r="W31" s="32">
        <f>if(sumproduct((Colles!$A$2:$A$97=$A31),(Colles!S$2:S$97=$B31),(Colles!$B$2:$B$97))&gt;0,sumproduct((Colles!$A$2:$A$97=$A31),(Colles!S$2:S$97=$B31),(Colles!$B$2:$B$97)),"")</f>
        <v>5</v>
      </c>
      <c r="Y31" s="1">
        <f>AA26+1</f>
        <v>5</v>
      </c>
      <c r="Z31" s="111" t="str">
        <f>Y31&amp;IF(SUMPRODUCT('Trinômes'!$A$2:$A$48=Z32,'Trinômes'!$D$2:$D$48&lt;&gt;0)+SUMPRODUCT('Trinômes'!$A$2:$A$48=Z33,'Trinômes'!$D$2:$D$48&lt;&gt;0)+SUMPRODUCT('Trinômes'!$A$2:$A$48=Z34,'Trinômes'!$D$2:$D$48&lt;&gt;0)&gt;0," – LV2","")</f>
        <v>5</v>
      </c>
      <c r="AA31" s="112">
        <f>Y31+1</f>
        <v>6</v>
      </c>
      <c r="AB31" s="113" t="str">
        <f>AA31&amp;IF(SUMPRODUCT('Trinômes'!$A$2:$A$48=AB32,'Trinômes'!$D$2:$D$48&lt;&gt;0)+SUMPRODUCT('Trinômes'!$A$2:$A$48=AB33,'Trinômes'!$D$2:$D$48&lt;&gt;0)+SUMPRODUCT('Trinômes'!$A$2:$A$48=AB34,'Trinômes'!$D$2:$D$48&lt;&gt;0)&gt;0," – LV2","")</f>
        <v>6</v>
      </c>
    </row>
    <row r="32">
      <c r="A32" s="5" t="str">
        <f>'Créneaux'!E14</f>
        <v>Anglais</v>
      </c>
      <c r="B32" s="30">
        <f>'Créneaux'!F14</f>
        <v>5</v>
      </c>
      <c r="C32" s="101" t="str">
        <f>'Créneaux'!G14</f>
        <v>M. Daoudi</v>
      </c>
      <c r="D32" s="32" t="str">
        <f>switch('Créneaux'!H14,0,"Lundi",1,"Mardi",2,"Mercredi",3,"Jeudi",4,"Vendredi")</f>
        <v>Jeudi</v>
      </c>
      <c r="E32" s="32" t="str">
        <f>'Créneaux'!I14&amp;"h"</f>
        <v>16h</v>
      </c>
      <c r="F32" s="32" t="str">
        <f>'Créneaux'!J14</f>
        <v>Prépa 10</v>
      </c>
      <c r="G32" s="34" t="str">
        <f>if(sumproduct((Colles!$A$2:$A$97=$A32),(Colles!C$2:C$97=$B32),(Colles!$B$2:$B$97))&gt;0,sumproduct((Colles!$A$2:$A$97=$A32),(Colles!C$2:C$97=$B32),(Colles!$B$2:$B$97)),"")</f>
        <v/>
      </c>
      <c r="H32" s="32">
        <f>if(sumproduct((Colles!$A$2:$A$97=$A32),(Colles!D$2:D$97=$B32),(Colles!$B$2:$B$97))&gt;0,sumproduct((Colles!$A$2:$A$97=$A32),(Colles!D$2:D$97=$B32),(Colles!$B$2:$B$97)),"")</f>
        <v>15</v>
      </c>
      <c r="I32" s="103">
        <f>if(sumproduct((Colles!$A$2:$A$97=$A32),(Colles!E$2:E$97=$B32),(Colles!$B$2:$B$97))&gt;0,sumproduct((Colles!$A$2:$A$97=$A32),(Colles!E$2:E$97=$B32),(Colles!$B$2:$B$97)),"")</f>
        <v>4</v>
      </c>
      <c r="J32" s="32">
        <f>if(sumproduct((Colles!$A$2:$A$97=$A32),(Colles!F$2:F$97=$B32),(Colles!$B$2:$B$97))&gt;0,sumproduct((Colles!$A$2:$A$97=$A32),(Colles!F$2:F$97=$B32),(Colles!$B$2:$B$97)),"")</f>
        <v>13</v>
      </c>
      <c r="K32" s="103">
        <f>if(sumproduct((Colles!$A$2:$A$97=$A32),(Colles!G$2:G$97=$B32),(Colles!$B$2:$B$97))&gt;0,sumproduct((Colles!$A$2:$A$97=$A32),(Colles!G$2:G$97=$B32),(Colles!$B$2:$B$97)),"")</f>
        <v>6</v>
      </c>
      <c r="L32" s="34"/>
      <c r="M32" s="32">
        <f>if(sumproduct((Colles!$A$2:$A$97=$A32),(Colles!I$2:I$97=$B32),(Colles!$B$2:$B$97))&gt;0,sumproduct((Colles!$A$2:$A$97=$A32),(Colles!I$2:I$97=$B32),(Colles!$B$2:$B$97)),"")</f>
        <v>11</v>
      </c>
      <c r="N32" s="103">
        <f>if(sumproduct((Colles!$A$2:$A$97=$A32),(Colles!J$2:J$97=$B32),(Colles!$B$2:$B$97))&gt;0,sumproduct((Colles!$A$2:$A$97=$A32),(Colles!J$2:J$97=$B32),(Colles!$B$2:$B$97)),"")</f>
        <v>8</v>
      </c>
      <c r="O32" s="32">
        <f>if(sumproduct((Colles!$A$2:$A$97=$A32),(Colles!K$2:K$97=$B32),(Colles!$B$2:$B$97))&gt;0,sumproduct((Colles!$A$2:$A$97=$A32),(Colles!K$2:K$97=$B32),(Colles!$B$2:$B$97)),"")</f>
        <v>9</v>
      </c>
      <c r="P32" s="103">
        <f>if(sumproduct((Colles!$A$2:$A$97=$A32),(Colles!L$2:L$97=$B32),(Colles!$B$2:$B$97))&gt;0,sumproduct((Colles!$A$2:$A$97=$A32),(Colles!L$2:L$97=$B32),(Colles!$B$2:$B$97)),"")</f>
        <v>2</v>
      </c>
      <c r="Q32" s="32">
        <f>if(sumproduct((Colles!$A$2:$A$97=$A32),(Colles!M$2:M$97=$B32),(Colles!$B$2:$B$97))&gt;0,sumproduct((Colles!$A$2:$A$97=$A32),(Colles!M$2:M$97=$B32),(Colles!$B$2:$B$97)),"")</f>
        <v>15</v>
      </c>
      <c r="R32" s="103">
        <f>if(sumproduct((Colles!$A$2:$A$97=$A32),(Colles!N$2:N$97=$B32),(Colles!$B$2:$B$97))&gt;0,sumproduct((Colles!$A$2:$A$97=$A32),(Colles!N$2:N$97=$B32),(Colles!$B$2:$B$97)),"")</f>
        <v>4</v>
      </c>
      <c r="S32" s="32">
        <f>if(sumproduct((Colles!$A$2:$A$97=$A32),(Colles!O$2:O$97=$B32),(Colles!$B$2:$B$97))&gt;0,sumproduct((Colles!$A$2:$A$97=$A32),(Colles!O$2:O$97=$B32),(Colles!$B$2:$B$97)),"")</f>
        <v>9</v>
      </c>
      <c r="T32" s="34"/>
      <c r="U32" s="34" t="str">
        <f>if(sumproduct((Colles!$A$2:$A$97=$A32),(Colles!Q$2:Q$97=$B32),(Colles!$B$2:$B$97))&gt;0,sumproduct((Colles!$A$2:$A$97=$A32),(Colles!Q$2:Q$97=$B32),(Colles!$B$2:$B$97)),"")</f>
        <v/>
      </c>
      <c r="V32" s="103">
        <f>if(sumproduct((Colles!$A$2:$A$97=$A32),(Colles!R$2:R$97=$B32),(Colles!$B$2:$B$97))&gt;0,sumproduct((Colles!$A$2:$A$97=$A32),(Colles!R$2:R$97=$B32),(Colles!$B$2:$B$97)),"")</f>
        <v>16</v>
      </c>
      <c r="W32" s="32">
        <f>if(sumproduct((Colles!$A$2:$A$97=$A32),(Colles!S$2:S$97=$B32),(Colles!$B$2:$B$97))&gt;0,sumproduct((Colles!$A$2:$A$97=$A32),(Colles!S$2:S$97=$B32),(Colles!$B$2:$B$97)),"")</f>
        <v>1</v>
      </c>
      <c r="Y32" s="1">
        <f t="shared" ref="Y32:Y35" si="17">Y31</f>
        <v>5</v>
      </c>
      <c r="Z32" s="114" t="str">
        <f t="array" ref="Z32">IF(ISERROR(ADDRESS(SUMPRODUCT('Trinômes'!$B$2:$B$48=Y32,'Trinômes'!$C$2:$C$48=COUNTIF(Y$21:Y32,"="&amp;Y32)-1
,ROW('Trinômes'!$A$2:$A$48)),COLUMN('Trinômes'!$A$1)-COLUMN('Trinômes'!$A$1)+1)),"",indirect("Trinômes!"&amp;ADDRESS(SUMPRODUCT('Trinômes'!$B$2:$B$48=Y32,'Trinômes'!$C$2:$C$48=COUNTIF(Y$21:Y32,"="&amp;Y32)-1
,ROW('Trinômes'!$A$2:$A$48)),COLUMN('Trinômes'!$A$1)-COLUMN('Trinômes'!$A$1)+1)))</f>
        <v>CONSTANCIAS Lucas</v>
      </c>
      <c r="AA32" s="1">
        <f t="shared" ref="AA32:AA35" si="18">AA31</f>
        <v>6</v>
      </c>
      <c r="AB32" s="114" t="str">
        <f t="array" ref="AB32">IF(ISERROR(ADDRESS(SUMPRODUCT('Trinômes'!$B$2:$B$48=AA32,'Trinômes'!$C$2:$C$48=COUNTIF(AA$21:AA32,"="&amp;AA32)-1
,ROW('Trinômes'!$A$2:$A$48)),COLUMN('Trinômes'!$A$1)-COLUMN('Trinômes'!$A$1)+1)),"",indirect("Trinômes!"&amp;ADDRESS(SUMPRODUCT('Trinômes'!$B$2:$B$48=AA32,'Trinômes'!$C$2:$C$48=COUNTIF(AA$21:AA32,"="&amp;AA32)-1
,ROW('Trinômes'!$A$2:$A$48)),COLUMN('Trinômes'!$A$1)-COLUMN('Trinômes'!$A$1)+1)))</f>
        <v>DESCOLLONGES Eric</v>
      </c>
    </row>
    <row r="33">
      <c r="A33" s="5" t="str">
        <f>'Créneaux'!E15</f>
        <v>Anglais</v>
      </c>
      <c r="B33" s="30">
        <f>'Créneaux'!F15</f>
        <v>6</v>
      </c>
      <c r="C33" s="101" t="str">
        <f>'Créneaux'!G15</f>
        <v>M. Daoudi</v>
      </c>
      <c r="D33" s="32" t="str">
        <f>switch('Créneaux'!H15,0,"Lundi",1,"Mardi",2,"Mercredi",3,"Jeudi",4,"Vendredi")</f>
        <v>Jeudi</v>
      </c>
      <c r="E33" s="32" t="str">
        <f>'Créneaux'!I15&amp;"h"</f>
        <v>17h</v>
      </c>
      <c r="F33" s="32" t="str">
        <f>'Créneaux'!J15</f>
        <v>Prépa 10</v>
      </c>
      <c r="G33" s="34" t="str">
        <f>if(sumproduct((Colles!$A$2:$A$97=$A33),(Colles!C$2:C$97=$B33),(Colles!$B$2:$B$97))&gt;0,sumproduct((Colles!$A$2:$A$97=$A33),(Colles!C$2:C$97=$B33),(Colles!$B$2:$B$97)),"")</f>
        <v/>
      </c>
      <c r="H33" s="32">
        <f>if(sumproduct((Colles!$A$2:$A$97=$A33),(Colles!D$2:D$97=$B33),(Colles!$B$2:$B$97))&gt;0,sumproduct((Colles!$A$2:$A$97=$A33),(Colles!D$2:D$97=$B33),(Colles!$B$2:$B$97)),"")</f>
        <v>11</v>
      </c>
      <c r="I33" s="103">
        <f>if(sumproduct((Colles!$A$2:$A$97=$A33),(Colles!E$2:E$97=$B33),(Colles!$B$2:$B$97))&gt;0,sumproduct((Colles!$A$2:$A$97=$A33),(Colles!E$2:E$97=$B33),(Colles!$B$2:$B$97)),"")</f>
        <v>6</v>
      </c>
      <c r="J33" s="32">
        <f>if(sumproduct((Colles!$A$2:$A$97=$A33),(Colles!F$2:F$97=$B33),(Colles!$B$2:$B$97))&gt;0,sumproduct((Colles!$A$2:$A$97=$A33),(Colles!F$2:F$97=$B33),(Colles!$B$2:$B$97)),"")</f>
        <v>9</v>
      </c>
      <c r="K33" s="103">
        <f>if(sumproduct((Colles!$A$2:$A$97=$A33),(Colles!G$2:G$97=$B33),(Colles!$B$2:$B$97))&gt;0,sumproduct((Colles!$A$2:$A$97=$A33),(Colles!G$2:G$97=$B33),(Colles!$B$2:$B$97)),"")</f>
        <v>8</v>
      </c>
      <c r="L33" s="34"/>
      <c r="M33" s="32">
        <f>if(sumproduct((Colles!$A$2:$A$97=$A33),(Colles!I$2:I$97=$B33),(Colles!$B$2:$B$97))&gt;0,sumproduct((Colles!$A$2:$A$97=$A33),(Colles!I$2:I$97=$B33),(Colles!$B$2:$B$97)),"")</f>
        <v>13</v>
      </c>
      <c r="N33" s="103">
        <f>if(sumproduct((Colles!$A$2:$A$97=$A33),(Colles!J$2:J$97=$B33),(Colles!$B$2:$B$97))&gt;0,sumproduct((Colles!$A$2:$A$97=$A33),(Colles!J$2:J$97=$B33),(Colles!$B$2:$B$97)),"")</f>
        <v>2</v>
      </c>
      <c r="O33" s="32">
        <f>if(sumproduct((Colles!$A$2:$A$97=$A33),(Colles!K$2:K$97=$B33),(Colles!$B$2:$B$97))&gt;0,sumproduct((Colles!$A$2:$A$97=$A33),(Colles!K$2:K$97=$B33),(Colles!$B$2:$B$97)),"")</f>
        <v>13</v>
      </c>
      <c r="P33" s="103">
        <f>if(sumproduct((Colles!$A$2:$A$97=$A33),(Colles!L$2:L$97=$B33),(Colles!$B$2:$B$97))&gt;0,sumproduct((Colles!$A$2:$A$97=$A33),(Colles!L$2:L$97=$B33),(Colles!$B$2:$B$97)),"")</f>
        <v>4</v>
      </c>
      <c r="Q33" s="32">
        <f>if(sumproduct((Colles!$A$2:$A$97=$A33),(Colles!M$2:M$97=$B33),(Colles!$B$2:$B$97))&gt;0,sumproduct((Colles!$A$2:$A$97=$A33),(Colles!M$2:M$97=$B33),(Colles!$B$2:$B$97)),"")</f>
        <v>11</v>
      </c>
      <c r="R33" s="103">
        <f>if(sumproduct((Colles!$A$2:$A$97=$A33),(Colles!N$2:N$97=$B33),(Colles!$B$2:$B$97))&gt;0,sumproduct((Colles!$A$2:$A$97=$A33),(Colles!N$2:N$97=$B33),(Colles!$B$2:$B$97)),"")</f>
        <v>6</v>
      </c>
      <c r="S33" s="32">
        <f>if(sumproduct((Colles!$A$2:$A$97=$A33),(Colles!O$2:O$97=$B33),(Colles!$B$2:$B$97))&gt;0,sumproduct((Colles!$A$2:$A$97=$A33),(Colles!O$2:O$97=$B33),(Colles!$B$2:$B$97)),"")</f>
        <v>13</v>
      </c>
      <c r="T33" s="34"/>
      <c r="U33" s="34" t="str">
        <f>if(sumproduct((Colles!$A$2:$A$97=$A33),(Colles!Q$2:Q$97=$B33),(Colles!$B$2:$B$97))&gt;0,sumproduct((Colles!$A$2:$A$97=$A33),(Colles!Q$2:Q$97=$B33),(Colles!$B$2:$B$97)),"")</f>
        <v/>
      </c>
      <c r="V33" s="103">
        <f>if(sumproduct((Colles!$A$2:$A$97=$A33),(Colles!R$2:R$97=$B33),(Colles!$B$2:$B$97))&gt;0,sumproduct((Colles!$A$2:$A$97=$A33),(Colles!R$2:R$97=$B33),(Colles!$B$2:$B$97)),"")</f>
        <v>10</v>
      </c>
      <c r="W33" s="32">
        <f>if(sumproduct((Colles!$A$2:$A$97=$A33),(Colles!S$2:S$97=$B33),(Colles!$B$2:$B$97))&gt;0,sumproduct((Colles!$A$2:$A$97=$A33),(Colles!S$2:S$97=$B33),(Colles!$B$2:$B$97)),"")</f>
        <v>3</v>
      </c>
      <c r="Y33" s="1">
        <f t="shared" si="17"/>
        <v>5</v>
      </c>
      <c r="Z33" s="114" t="str">
        <f t="array" ref="Z33">IF(ISERROR(ADDRESS(SUMPRODUCT('Trinômes'!$B$2:$B$48=Y33,'Trinômes'!$C$2:$C$48=COUNTIF(Y$21:Y33,"="&amp;Y33)-1
,ROW('Trinômes'!$A$2:$A$48)),COLUMN('Trinômes'!$A$1)-COLUMN('Trinômes'!$A$1)+1)),"",indirect("Trinômes!"&amp;ADDRESS(SUMPRODUCT('Trinômes'!$B$2:$B$48=Y33,'Trinômes'!$C$2:$C$48=COUNTIF(Y$21:Y33,"="&amp;Y33)-1
,ROW('Trinômes'!$A$2:$A$48)),COLUMN('Trinômes'!$A$1)-COLUMN('Trinômes'!$A$1)+1)))</f>
        <v>DARTOIS Thomas</v>
      </c>
      <c r="AA33" s="1">
        <f t="shared" si="18"/>
        <v>6</v>
      </c>
      <c r="AB33" s="114" t="str">
        <f t="array" ref="AB33">IF(ISERROR(ADDRESS(SUMPRODUCT('Trinômes'!$B$2:$B$48=AA33,'Trinômes'!$C$2:$C$48=COUNTIF(AA$21:AA33,"="&amp;AA33)-1
,ROW('Trinômes'!$A$2:$A$48)),COLUMN('Trinômes'!$A$1)-COLUMN('Trinômes'!$A$1)+1)),"",indirect("Trinômes!"&amp;ADDRESS(SUMPRODUCT('Trinômes'!$B$2:$B$48=AA33,'Trinômes'!$C$2:$C$48=COUNTIF(AA$21:AA33,"="&amp;AA33)-1
,ROW('Trinômes'!$A$2:$A$48)),COLUMN('Trinômes'!$A$1)-COLUMN('Trinômes'!$A$1)+1)))</f>
        <v>DESPRES Jeanne</v>
      </c>
    </row>
    <row r="34">
      <c r="A34" s="5" t="str">
        <f>'Créneaux'!E16</f>
        <v>Anglais</v>
      </c>
      <c r="B34" s="30">
        <f>'Créneaux'!F16</f>
        <v>7</v>
      </c>
      <c r="C34" s="101" t="str">
        <f>'Créneaux'!G16</f>
        <v>Mme Sebah</v>
      </c>
      <c r="D34" s="32" t="str">
        <f>switch('Créneaux'!H16,0,"Lundi",1,"Mardi",2,"Mercredi",3,"Jeudi",4,"Vendredi")</f>
        <v>Vendredi</v>
      </c>
      <c r="E34" s="32" t="str">
        <f>'Créneaux'!I16&amp;"h"</f>
        <v>16h</v>
      </c>
      <c r="F34" s="32" t="str">
        <f>'Créneaux'!J16</f>
        <v>K33</v>
      </c>
      <c r="G34" s="34" t="str">
        <f>if(sumproduct((Colles!$A$2:$A$97=$A34),(Colles!C$2:C$97=$B34),(Colles!$B$2:$B$97))&gt;0,sumproduct((Colles!$A$2:$A$97=$A34),(Colles!C$2:C$97=$B34),(Colles!$B$2:$B$97)),"")</f>
        <v/>
      </c>
      <c r="H34" s="32">
        <f>if(sumproduct((Colles!$A$2:$A$97=$A34),(Colles!D$2:D$97=$B34),(Colles!$B$2:$B$97))&gt;0,sumproduct((Colles!$A$2:$A$97=$A34),(Colles!D$2:D$97=$B34),(Colles!$B$2:$B$97)),"")</f>
        <v>3</v>
      </c>
      <c r="I34" s="103">
        <f>if(sumproduct((Colles!$A$2:$A$97=$A34),(Colles!E$2:E$97=$B34),(Colles!$B$2:$B$97))&gt;0,sumproduct((Colles!$A$2:$A$97=$A34),(Colles!E$2:E$97=$B34),(Colles!$B$2:$B$97)),"")</f>
        <v>16</v>
      </c>
      <c r="J34" s="32">
        <f>if(sumproduct((Colles!$A$2:$A$97=$A34),(Colles!F$2:F$97=$B34),(Colles!$B$2:$B$97))&gt;0,sumproduct((Colles!$A$2:$A$97=$A34),(Colles!F$2:F$97=$B34),(Colles!$B$2:$B$97)),"")</f>
        <v>5</v>
      </c>
      <c r="K34" s="103">
        <f>if(sumproduct((Colles!$A$2:$A$97=$A34),(Colles!G$2:G$97=$B34),(Colles!$B$2:$B$97))&gt;0,sumproduct((Colles!$A$2:$A$97=$A34),(Colles!G$2:G$97=$B34),(Colles!$B$2:$B$97)),"")</f>
        <v>10</v>
      </c>
      <c r="L34" s="34"/>
      <c r="M34" s="32">
        <f>if(sumproduct((Colles!$A$2:$A$97=$A34),(Colles!I$2:I$97=$B34),(Colles!$B$2:$B$97))&gt;0,sumproduct((Colles!$A$2:$A$97=$A34),(Colles!I$2:I$97=$B34),(Colles!$B$2:$B$97)),"")</f>
        <v>15</v>
      </c>
      <c r="N34" s="103">
        <f>if(sumproduct((Colles!$A$2:$A$97=$A34),(Colles!J$2:J$97=$B34),(Colles!$B$2:$B$97))&gt;0,sumproduct((Colles!$A$2:$A$97=$A34),(Colles!J$2:J$97=$B34),(Colles!$B$2:$B$97)),"")</f>
        <v>16</v>
      </c>
      <c r="O34" s="32">
        <f>if(sumproduct((Colles!$A$2:$A$97=$A34),(Colles!K$2:K$97=$B34),(Colles!$B$2:$B$97))&gt;0,sumproduct((Colles!$A$2:$A$97=$A34),(Colles!K$2:K$97=$B34),(Colles!$B$2:$B$97)),"")</f>
        <v>5</v>
      </c>
      <c r="P34" s="103">
        <f>if(sumproduct((Colles!$A$2:$A$97=$A34),(Colles!L$2:L$97=$B34),(Colles!$B$2:$B$97))&gt;0,sumproduct((Colles!$A$2:$A$97=$A34),(Colles!L$2:L$97=$B34),(Colles!$B$2:$B$97)),"")</f>
        <v>14</v>
      </c>
      <c r="Q34" s="32">
        <f>if(sumproduct((Colles!$A$2:$A$97=$A34),(Colles!M$2:M$97=$B34),(Colles!$B$2:$B$97))&gt;0,sumproduct((Colles!$A$2:$A$97=$A34),(Colles!M$2:M$97=$B34),(Colles!$B$2:$B$97)),"")</f>
        <v>3</v>
      </c>
      <c r="R34" s="103">
        <f>if(sumproduct((Colles!$A$2:$A$97=$A34),(Colles!N$2:N$97=$B34),(Colles!$B$2:$B$97))&gt;0,sumproduct((Colles!$A$2:$A$97=$A34),(Colles!N$2:N$97=$B34),(Colles!$B$2:$B$97)),"")</f>
        <v>10</v>
      </c>
      <c r="S34" s="32">
        <f>if(sumproduct((Colles!$A$2:$A$97=$A34),(Colles!O$2:O$97=$B34),(Colles!$B$2:$B$97))&gt;0,sumproduct((Colles!$A$2:$A$97=$A34),(Colles!O$2:O$97=$B34),(Colles!$B$2:$B$97)),"")</f>
        <v>7</v>
      </c>
      <c r="T34" s="34"/>
      <c r="U34" s="34" t="str">
        <f>if(sumproduct((Colles!$A$2:$A$97=$A34),(Colles!Q$2:Q$97=$B34),(Colles!$B$2:$B$97))&gt;0,sumproduct((Colles!$A$2:$A$97=$A34),(Colles!Q$2:Q$97=$B34),(Colles!$B$2:$B$97)),"")</f>
        <v/>
      </c>
      <c r="V34" s="103">
        <f>if(sumproduct((Colles!$A$2:$A$97=$A34),(Colles!R$2:R$97=$B34),(Colles!$B$2:$B$97))&gt;0,sumproduct((Colles!$A$2:$A$97=$A34),(Colles!R$2:R$97=$B34),(Colles!$B$2:$B$97)),"")</f>
        <v>2</v>
      </c>
      <c r="W34" s="32">
        <f>if(sumproduct((Colles!$A$2:$A$97=$A34),(Colles!S$2:S$97=$B34),(Colles!$B$2:$B$97))&gt;0,sumproduct((Colles!$A$2:$A$97=$A34),(Colles!S$2:S$97=$B34),(Colles!$B$2:$B$97)),"")</f>
        <v>9</v>
      </c>
      <c r="Y34" s="1">
        <f t="shared" si="17"/>
        <v>5</v>
      </c>
      <c r="Z34" s="114" t="str">
        <f t="array" ref="Z34">IF(ISERROR(ADDRESS(SUMPRODUCT('Trinômes'!$B$2:$B$48=Y34,'Trinômes'!$C$2:$C$48=COUNTIF(Y$21:Y34,"="&amp;Y34)-1
,ROW('Trinômes'!$A$2:$A$48)),COLUMN('Trinômes'!$A$1)-COLUMN('Trinômes'!$A$1)+1)),"",indirect("Trinômes!"&amp;ADDRESS(SUMPRODUCT('Trinômes'!$B$2:$B$48=Y34,'Trinômes'!$C$2:$C$48=COUNTIF(Y$21:Y34,"="&amp;Y34)-1
,ROW('Trinômes'!$A$2:$A$48)),COLUMN('Trinômes'!$A$1)-COLUMN('Trinômes'!$A$1)+1)))</f>
        <v>DE SAINT-JEAN Thibault</v>
      </c>
      <c r="AA34" s="1">
        <f t="shared" si="18"/>
        <v>6</v>
      </c>
      <c r="AB34" s="114" t="str">
        <f t="array" ref="AB34">IF(ISERROR(ADDRESS(SUMPRODUCT('Trinômes'!$B$2:$B$48=AA34,'Trinômes'!$C$2:$C$48=COUNTIF(AA$21:AA34,"="&amp;AA34)-1
,ROW('Trinômes'!$A$2:$A$48)),COLUMN('Trinômes'!$A$1)-COLUMN('Trinômes'!$A$1)+1)),"",indirect("Trinômes!"&amp;ADDRESS(SUMPRODUCT('Trinômes'!$B$2:$B$48=AA34,'Trinômes'!$C$2:$C$48=COUNTIF(AA$21:AA34,"="&amp;AA34)-1
,ROW('Trinômes'!$A$2:$A$48)),COLUMN('Trinômes'!$A$1)-COLUMN('Trinômes'!$A$1)+1)))</f>
        <v>DORLEANS Louis</v>
      </c>
    </row>
    <row r="35">
      <c r="A35" s="5" t="str">
        <f>'Créneaux'!E17</f>
        <v>Anglais</v>
      </c>
      <c r="B35" s="30">
        <f>'Créneaux'!F17</f>
        <v>8</v>
      </c>
      <c r="C35" s="101" t="str">
        <f>'Créneaux'!G17</f>
        <v>Mme Sebah</v>
      </c>
      <c r="D35" s="32" t="str">
        <f>switch('Créneaux'!H17,0,"Lundi",1,"Mardi",2,"Mercredi",3,"Jeudi",4,"Vendredi")</f>
        <v>Vendredi</v>
      </c>
      <c r="E35" s="32" t="str">
        <f>'Créneaux'!I17&amp;"h"</f>
        <v>17h</v>
      </c>
      <c r="F35" s="32" t="str">
        <f>'Créneaux'!J17</f>
        <v>K33</v>
      </c>
      <c r="G35" s="34" t="str">
        <f>if(sumproduct((Colles!$A$2:$A$97=$A35),(Colles!C$2:C$97=$B35),(Colles!$B$2:$B$97))&gt;0,sumproduct((Colles!$A$2:$A$97=$A35),(Colles!C$2:C$97=$B35),(Colles!$B$2:$B$97)),"")</f>
        <v/>
      </c>
      <c r="H35" s="32">
        <f>if(sumproduct((Colles!$A$2:$A$97=$A35),(Colles!D$2:D$97=$B35),(Colles!$B$2:$B$97))&gt;0,sumproduct((Colles!$A$2:$A$97=$A35),(Colles!D$2:D$97=$B35),(Colles!$B$2:$B$97)),"")</f>
        <v>1</v>
      </c>
      <c r="I35" s="103">
        <f>if(sumproduct((Colles!$A$2:$A$97=$A35),(Colles!E$2:E$97=$B35),(Colles!$B$2:$B$97))&gt;0,sumproduct((Colles!$A$2:$A$97=$A35),(Colles!E$2:E$97=$B35),(Colles!$B$2:$B$97)),"")</f>
        <v>14</v>
      </c>
      <c r="J35" s="32">
        <f>if(sumproduct((Colles!$A$2:$A$97=$A35),(Colles!F$2:F$97=$B35),(Colles!$B$2:$B$97))&gt;0,sumproduct((Colles!$A$2:$A$97=$A35),(Colles!F$2:F$97=$B35),(Colles!$B$2:$B$97)),"")</f>
        <v>7</v>
      </c>
      <c r="K35" s="103">
        <f>if(sumproduct((Colles!$A$2:$A$97=$A35),(Colles!G$2:G$97=$B35),(Colles!$B$2:$B$97))&gt;0,sumproduct((Colles!$A$2:$A$97=$A35),(Colles!G$2:G$97=$B35),(Colles!$B$2:$B$97)),"")</f>
        <v>12</v>
      </c>
      <c r="L35" s="34"/>
      <c r="M35" s="32">
        <f>if(sumproduct((Colles!$A$2:$A$97=$A35),(Colles!I$2:I$97=$B35),(Colles!$B$2:$B$97))&gt;0,sumproduct((Colles!$A$2:$A$97=$A35),(Colles!I$2:I$97=$B35),(Colles!$B$2:$B$97)),"")</f>
        <v>5</v>
      </c>
      <c r="N35" s="103">
        <f>if(sumproduct((Colles!$A$2:$A$97=$A35),(Colles!J$2:J$97=$B35),(Colles!$B$2:$B$97))&gt;0,sumproduct((Colles!$A$2:$A$97=$A35),(Colles!J$2:J$97=$B35),(Colles!$B$2:$B$97)),"")</f>
        <v>10</v>
      </c>
      <c r="O35" s="32">
        <f>if(sumproduct((Colles!$A$2:$A$97=$A35),(Colles!K$2:K$97=$B35),(Colles!$B$2:$B$97))&gt;0,sumproduct((Colles!$A$2:$A$97=$A35),(Colles!K$2:K$97=$B35),(Colles!$B$2:$B$97)),"")</f>
        <v>7</v>
      </c>
      <c r="P35" s="103">
        <f>if(sumproduct((Colles!$A$2:$A$97=$A35),(Colles!L$2:L$97=$B35),(Colles!$B$2:$B$97))&gt;0,sumproduct((Colles!$A$2:$A$97=$A35),(Colles!L$2:L$97=$B35),(Colles!$B$2:$B$97)),"")</f>
        <v>16</v>
      </c>
      <c r="Q35" s="32">
        <f>if(sumproduct((Colles!$A$2:$A$97=$A35),(Colles!M$2:M$97=$B35),(Colles!$B$2:$B$97))&gt;0,sumproduct((Colles!$A$2:$A$97=$A35),(Colles!M$2:M$97=$B35),(Colles!$B$2:$B$97)),"")</f>
        <v>1</v>
      </c>
      <c r="R35" s="103">
        <f>if(sumproduct((Colles!$A$2:$A$97=$A35),(Colles!N$2:N$97=$B35),(Colles!$B$2:$B$97))&gt;0,sumproduct((Colles!$A$2:$A$97=$A35),(Colles!N$2:N$97=$B35),(Colles!$B$2:$B$97)),"")</f>
        <v>14</v>
      </c>
      <c r="S35" s="32">
        <f>if(sumproduct((Colles!$A$2:$A$97=$A35),(Colles!O$2:O$97=$B35),(Colles!$B$2:$B$97))&gt;0,sumproduct((Colles!$A$2:$A$97=$A35),(Colles!O$2:O$97=$B35),(Colles!$B$2:$B$97)),"")</f>
        <v>3</v>
      </c>
      <c r="T35" s="34"/>
      <c r="U35" s="34" t="str">
        <f>if(sumproduct((Colles!$A$2:$A$97=$A35),(Colles!Q$2:Q$97=$B35),(Colles!$B$2:$B$97))&gt;0,sumproduct((Colles!$A$2:$A$97=$A35),(Colles!Q$2:Q$97=$B35),(Colles!$B$2:$B$97)),"")</f>
        <v/>
      </c>
      <c r="V35" s="103">
        <f>if(sumproduct((Colles!$A$2:$A$97=$A35),(Colles!R$2:R$97=$B35),(Colles!$B$2:$B$97))&gt;0,sumproduct((Colles!$A$2:$A$97=$A35),(Colles!R$2:R$97=$B35),(Colles!$B$2:$B$97)),"")</f>
        <v>4</v>
      </c>
      <c r="W35" s="32">
        <f>if(sumproduct((Colles!$A$2:$A$97=$A35),(Colles!S$2:S$97=$B35),(Colles!$B$2:$B$97))&gt;0,sumproduct((Colles!$A$2:$A$97=$A35),(Colles!S$2:S$97=$B35),(Colles!$B$2:$B$97)),"")</f>
        <v>15</v>
      </c>
      <c r="Y35" s="1">
        <f t="shared" si="17"/>
        <v>5</v>
      </c>
      <c r="Z35" s="1"/>
      <c r="AA35" s="1">
        <f t="shared" si="18"/>
        <v>6</v>
      </c>
      <c r="AB35" s="1"/>
    </row>
    <row r="36">
      <c r="A36" s="5"/>
      <c r="C36" s="117" t="str">
        <f>A37</f>
        <v>SI</v>
      </c>
      <c r="D36" s="118"/>
      <c r="E36" s="118"/>
      <c r="F36" s="118"/>
      <c r="G36" s="118"/>
      <c r="H36" s="118"/>
      <c r="I36" s="118"/>
      <c r="J36" s="118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Y36" s="1">
        <f>AA31+1</f>
        <v>7</v>
      </c>
      <c r="Z36" s="111" t="str">
        <f>Y36&amp;IF(SUMPRODUCT('Trinômes'!$A$2:$A$48=Z37,'Trinômes'!$D$2:$D$48&lt;&gt;0)+SUMPRODUCT('Trinômes'!$A$2:$A$48=Z38,'Trinômes'!$D$2:$D$48&lt;&gt;0)+SUMPRODUCT('Trinômes'!$A$2:$A$48=Z39,'Trinômes'!$D$2:$D$48&lt;&gt;0)&gt;0," – LV2","")</f>
        <v>7</v>
      </c>
      <c r="AA36" s="112">
        <f>Y36+1</f>
        <v>8</v>
      </c>
      <c r="AB36" s="113" t="str">
        <f>AA36&amp;IF(SUMPRODUCT('Trinômes'!$A$2:$A$48=AB37,'Trinômes'!$D$2:$D$48&lt;&gt;0)+SUMPRODUCT('Trinômes'!$A$2:$A$48=AB38,'Trinômes'!$D$2:$D$48&lt;&gt;0)+SUMPRODUCT('Trinômes'!$A$2:$A$48=AB39,'Trinômes'!$D$2:$D$48&lt;&gt;0)&gt;0," – LV2","")</f>
        <v>8</v>
      </c>
    </row>
    <row r="37">
      <c r="A37" s="5" t="str">
        <f>'Créneaux'!E34</f>
        <v>SI</v>
      </c>
      <c r="B37" s="30">
        <f>'Créneaux'!F34</f>
        <v>1</v>
      </c>
      <c r="C37" s="101" t="str">
        <f>'Créneaux'!G34</f>
        <v>M. Lahmar</v>
      </c>
      <c r="D37" s="32" t="str">
        <f>switch('Créneaux'!H34,0,"Lundi",1,"Mardi",2,"Mercredi",3,"Jeudi",4,"Vendredi")</f>
        <v>Lundi</v>
      </c>
      <c r="E37" s="32" t="str">
        <f>'Créneaux'!I34&amp;"h"</f>
        <v>16h</v>
      </c>
      <c r="F37" s="32" t="str">
        <f>'Créneaux'!J34</f>
        <v>Prépa 21</v>
      </c>
      <c r="G37" s="34" t="str">
        <f>if(sumproduct((Colles!$A$2:$A$97=$A37),(Colles!C$2:C$97=$B37),(Colles!$B$2:$B$97))&gt;0,sumproduct((Colles!$A$2:$A$97=$A37),(Colles!C$2:C$97=$B37),(Colles!$B$2:$B$97)),"")</f>
        <v/>
      </c>
      <c r="H37" s="32">
        <f>if(sumproduct((Colles!$A$2:$A$97=$A37),(Colles!D$2:D$97=$B37),(Colles!$B$2:$B$97))&gt;0,sumproduct((Colles!$A$2:$A$97=$A37),(Colles!D$2:D$97=$B37),(Colles!$B$2:$B$97)),"")</f>
        <v>1</v>
      </c>
      <c r="I37" s="32">
        <f>if(sumproduct((Colles!$A$2:$A$97=$A37),(Colles!E$2:E$97=$B37),(Colles!$B$2:$B$97))&gt;0,sumproduct((Colles!$A$2:$A$97=$A37),(Colles!E$2:E$97=$B37),(Colles!$B$2:$B$97)),"")</f>
        <v>4</v>
      </c>
      <c r="J37" s="32">
        <f>if(sumproduct((Colles!$A$2:$A$97=$A37),(Colles!F$2:F$97=$B37),(Colles!$B$2:$B$97))&gt;0,sumproduct((Colles!$A$2:$A$97=$A37),(Colles!F$2:F$97=$B37),(Colles!$B$2:$B$97)),"")</f>
        <v>9</v>
      </c>
      <c r="K37" s="32">
        <f>if(sumproduct((Colles!$A$2:$A$97=$A37),(Colles!G$2:G$97=$B37),(Colles!$B$2:$B$97))&gt;0,sumproduct((Colles!$A$2:$A$97=$A37),(Colles!G$2:G$97=$B37),(Colles!$B$2:$B$97)),"")</f>
        <v>13</v>
      </c>
      <c r="L37" s="34"/>
      <c r="M37" s="32">
        <f>if(sumproduct((Colles!$A$2:$A$97=$A37),(Colles!I$2:I$97=$B37),(Colles!$B$2:$B$97))&gt;0,sumproduct((Colles!$A$2:$A$97=$A37),(Colles!I$2:I$97=$B37),(Colles!$B$2:$B$97)),"")</f>
        <v>8</v>
      </c>
      <c r="N37" s="32">
        <f>if(sumproduct((Colles!$A$2:$A$97=$A37),(Colles!J$2:J$97=$B37),(Colles!$B$2:$B$97))&gt;0,sumproduct((Colles!$A$2:$A$97=$A37),(Colles!J$2:J$97=$B37),(Colles!$B$2:$B$97)),"")</f>
        <v>5</v>
      </c>
      <c r="O37" s="32">
        <f>if(sumproduct((Colles!$A$2:$A$97=$A37),(Colles!K$2:K$97=$B37),(Colles!$B$2:$B$97))&gt;0,sumproduct((Colles!$A$2:$A$97=$A37),(Colles!K$2:K$97=$B37),(Colles!$B$2:$B$97)),"")</f>
        <v>6</v>
      </c>
      <c r="P37" s="32">
        <f>if(sumproduct((Colles!$A$2:$A$97=$A37),(Colles!L$2:L$97=$B37),(Colles!$B$2:$B$97))&gt;0,sumproduct((Colles!$A$2:$A$97=$A37),(Colles!L$2:L$97=$B37),(Colles!$B$2:$B$97)),"")</f>
        <v>9</v>
      </c>
      <c r="Q37" s="32">
        <f>if(sumproduct((Colles!$A$2:$A$97=$A37),(Colles!M$2:M$97=$B37),(Colles!$B$2:$B$97))&gt;0,sumproduct((Colles!$A$2:$A$97=$A37),(Colles!M$2:M$97=$B37),(Colles!$B$2:$B$97)),"")</f>
        <v>15</v>
      </c>
      <c r="R37" s="32">
        <f>if(sumproduct((Colles!$A$2:$A$97=$A37),(Colles!N$2:N$97=$B37),(Colles!$B$2:$B$97))&gt;0,sumproduct((Colles!$A$2:$A$97=$A37),(Colles!N$2:N$97=$B37),(Colles!$B$2:$B$97)),"")</f>
        <v>7</v>
      </c>
      <c r="S37" s="32">
        <f>if(sumproduct((Colles!$A$2:$A$97=$A37),(Colles!O$2:O$97=$B37),(Colles!$B$2:$B$97))&gt;0,sumproduct((Colles!$A$2:$A$97=$A37),(Colles!O$2:O$97=$B37),(Colles!$B$2:$B$97)),"")</f>
        <v>2</v>
      </c>
      <c r="T37" s="34"/>
      <c r="U37" s="34" t="str">
        <f>if(sumproduct((Colles!$A$2:$A$97=$A37),(Colles!Q$2:Q$97=$B37),(Colles!$B$2:$B$97))&gt;0,sumproduct((Colles!$A$2:$A$97=$A37),(Colles!Q$2:Q$97=$B37),(Colles!$B$2:$B$97)),"")</f>
        <v/>
      </c>
      <c r="V37" s="32">
        <f>if(sumproduct((Colles!$A$2:$A$97=$A37),(Colles!R$2:R$97=$B37),(Colles!$B$2:$B$97))&gt;0,sumproduct((Colles!$A$2:$A$97=$A37),(Colles!R$2:R$97=$B37),(Colles!$B$2:$B$97)),"")</f>
        <v>16</v>
      </c>
      <c r="W37" s="32">
        <f>if(sumproduct((Colles!$A$2:$A$97=$A37),(Colles!S$2:S$97=$B37),(Colles!$B$2:$B$97))&gt;0,sumproduct((Colles!$A$2:$A$97=$A37),(Colles!S$2:S$97=$B37),(Colles!$B$2:$B$97)),"")</f>
        <v>15</v>
      </c>
      <c r="Y37" s="1">
        <f t="shared" ref="Y37:Y40" si="19">Y36</f>
        <v>7</v>
      </c>
      <c r="Z37" s="114" t="str">
        <f t="array" ref="Z37">IF(ISERROR(ADDRESS(SUMPRODUCT('Trinômes'!$B$2:$B$48=Y37,'Trinômes'!$C$2:$C$48=COUNTIF(Y$21:Y37,"="&amp;Y37)-1
,ROW('Trinômes'!$A$2:$A$48)),COLUMN('Trinômes'!$A$1)-COLUMN('Trinômes'!$A$1)+1)),"",indirect("Trinômes!"&amp;ADDRESS(SUMPRODUCT('Trinômes'!$B$2:$B$48=Y37,'Trinômes'!$C$2:$C$48=COUNTIF(Y$21:Y37,"="&amp;Y37)-1
,ROW('Trinômes'!$A$2:$A$48)),COLUMN('Trinômes'!$A$1)-COLUMN('Trinômes'!$A$1)+1)))</f>
        <v>FILLINGER Collin</v>
      </c>
      <c r="AA37" s="1">
        <f t="shared" ref="AA37:AA40" si="20">AA36</f>
        <v>8</v>
      </c>
      <c r="AB37" s="114" t="str">
        <f t="array" ref="AB37">IF(ISERROR(ADDRESS(SUMPRODUCT('Trinômes'!$B$2:$B$48=AA37,'Trinômes'!$C$2:$C$48=COUNTIF(AA$21:AA37,"="&amp;AA37)-1
,ROW('Trinômes'!$A$2:$A$48)),COLUMN('Trinômes'!$A$1)-COLUMN('Trinômes'!$A$1)+1)),"",indirect("Trinômes!"&amp;ADDRESS(SUMPRODUCT('Trinômes'!$B$2:$B$48=AA37,'Trinômes'!$C$2:$C$48=COUNTIF(AA$21:AA37,"="&amp;AA37)-1
,ROW('Trinômes'!$A$2:$A$48)),COLUMN('Trinômes'!$A$1)-COLUMN('Trinômes'!$A$1)+1)))</f>
        <v>GLISSA Ahmed</v>
      </c>
    </row>
    <row r="38">
      <c r="A38" s="5" t="str">
        <f>'Créneaux'!E35</f>
        <v>SI</v>
      </c>
      <c r="B38" s="30">
        <f>'Créneaux'!F35</f>
        <v>2</v>
      </c>
      <c r="C38" s="101" t="str">
        <f>'Créneaux'!G35</f>
        <v>M. Lahmar</v>
      </c>
      <c r="D38" s="32" t="str">
        <f>switch('Créneaux'!H35,0,"Lundi",1,"Mardi",2,"Mercredi",3,"Jeudi",4,"Vendredi")</f>
        <v>Lundi</v>
      </c>
      <c r="E38" s="32" t="str">
        <f>'Créneaux'!I35&amp;"h"</f>
        <v>17h</v>
      </c>
      <c r="F38" s="32" t="str">
        <f>'Créneaux'!J35</f>
        <v>Prépa 21</v>
      </c>
      <c r="G38" s="34" t="str">
        <f>if(sumproduct((Colles!$A$2:$A$97=$A38),(Colles!C$2:C$97=$B38),(Colles!$B$2:$B$97))&gt;0,sumproduct((Colles!$A$2:$A$97=$A38),(Colles!C$2:C$97=$B38),(Colles!$B$2:$B$97)),"")</f>
        <v/>
      </c>
      <c r="H38" s="32">
        <f>if(sumproduct((Colles!$A$2:$A$97=$A38),(Colles!D$2:D$97=$B38),(Colles!$B$2:$B$97))&gt;0,sumproduct((Colles!$A$2:$A$97=$A38),(Colles!D$2:D$97=$B38),(Colles!$B$2:$B$97)),"")</f>
        <v>2</v>
      </c>
      <c r="I38" s="32">
        <f>if(sumproduct((Colles!$A$2:$A$97=$A38),(Colles!E$2:E$97=$B38),(Colles!$B$2:$B$97))&gt;0,sumproduct((Colles!$A$2:$A$97=$A38),(Colles!E$2:E$97=$B38),(Colles!$B$2:$B$97)),"")</f>
        <v>6</v>
      </c>
      <c r="J38" s="32">
        <f>if(sumproduct((Colles!$A$2:$A$97=$A38),(Colles!F$2:F$97=$B38),(Colles!$B$2:$B$97))&gt;0,sumproduct((Colles!$A$2:$A$97=$A38),(Colles!F$2:F$97=$B38),(Colles!$B$2:$B$97)),"")</f>
        <v>10</v>
      </c>
      <c r="K38" s="32">
        <f>if(sumproduct((Colles!$A$2:$A$97=$A38),(Colles!G$2:G$97=$B38),(Colles!$B$2:$B$97))&gt;0,sumproduct((Colles!$A$2:$A$97=$A38),(Colles!G$2:G$97=$B38),(Colles!$B$2:$B$97)),"")</f>
        <v>14</v>
      </c>
      <c r="L38" s="34"/>
      <c r="M38" s="32">
        <f>if(sumproduct((Colles!$A$2:$A$97=$A38),(Colles!I$2:I$97=$B38),(Colles!$B$2:$B$97))&gt;0,sumproduct((Colles!$A$2:$A$97=$A38),(Colles!I$2:I$97=$B38),(Colles!$B$2:$B$97)),"")</f>
        <v>3</v>
      </c>
      <c r="N38" s="32">
        <f>if(sumproduct((Colles!$A$2:$A$97=$A38),(Colles!J$2:J$97=$B38),(Colles!$B$2:$B$97))&gt;0,sumproduct((Colles!$A$2:$A$97=$A38),(Colles!J$2:J$97=$B38),(Colles!$B$2:$B$97)),"")</f>
        <v>1</v>
      </c>
      <c r="O38" s="32">
        <f>if(sumproduct((Colles!$A$2:$A$97=$A38),(Colles!K$2:K$97=$B38),(Colles!$B$2:$B$97))&gt;0,sumproduct((Colles!$A$2:$A$97=$A38),(Colles!K$2:K$97=$B38),(Colles!$B$2:$B$97)),"")</f>
        <v>12</v>
      </c>
      <c r="P38" s="32">
        <f>if(sumproduct((Colles!$A$2:$A$97=$A38),(Colles!L$2:L$97=$B38),(Colles!$B$2:$B$97))&gt;0,sumproduct((Colles!$A$2:$A$97=$A38),(Colles!L$2:L$97=$B38),(Colles!$B$2:$B$97)),"")</f>
        <v>13</v>
      </c>
      <c r="Q38" s="32">
        <f>if(sumproduct((Colles!$A$2:$A$97=$A38),(Colles!M$2:M$97=$B38),(Colles!$B$2:$B$97))&gt;0,sumproduct((Colles!$A$2:$A$97=$A38),(Colles!M$2:M$97=$B38),(Colles!$B$2:$B$97)),"")</f>
        <v>3</v>
      </c>
      <c r="R38" s="32">
        <f>if(sumproduct((Colles!$A$2:$A$97=$A38),(Colles!N$2:N$97=$B38),(Colles!$B$2:$B$97))&gt;0,sumproduct((Colles!$A$2:$A$97=$A38),(Colles!N$2:N$97=$B38),(Colles!$B$2:$B$97)),"")</f>
        <v>9</v>
      </c>
      <c r="S38" s="32">
        <f>if(sumproduct((Colles!$A$2:$A$97=$A38),(Colles!O$2:O$97=$B38),(Colles!$B$2:$B$97))&gt;0,sumproduct((Colles!$A$2:$A$97=$A38),(Colles!O$2:O$97=$B38),(Colles!$B$2:$B$97)),"")</f>
        <v>11</v>
      </c>
      <c r="T38" s="34"/>
      <c r="U38" s="34" t="str">
        <f>if(sumproduct((Colles!$A$2:$A$97=$A38),(Colles!Q$2:Q$97=$B38),(Colles!$B$2:$B$97))&gt;0,sumproduct((Colles!$A$2:$A$97=$A38),(Colles!Q$2:Q$97=$B38),(Colles!$B$2:$B$97)),"")</f>
        <v/>
      </c>
      <c r="V38" s="32">
        <f>if(sumproduct((Colles!$A$2:$A$97=$A38),(Colles!R$2:R$97=$B38),(Colles!$B$2:$B$97))&gt;0,sumproduct((Colles!$A$2:$A$97=$A38),(Colles!R$2:R$97=$B38),(Colles!$B$2:$B$97)),"")</f>
        <v>12</v>
      </c>
      <c r="W38" s="32">
        <f>if(sumproduct((Colles!$A$2:$A$97=$A38),(Colles!S$2:S$97=$B38),(Colles!$B$2:$B$97))&gt;0,sumproduct((Colles!$A$2:$A$97=$A38),(Colles!S$2:S$97=$B38),(Colles!$B$2:$B$97)),"")</f>
        <v>3</v>
      </c>
      <c r="Y38" s="1">
        <f t="shared" si="19"/>
        <v>7</v>
      </c>
      <c r="Z38" s="114" t="str">
        <f t="array" ref="Z38">IF(ISERROR(ADDRESS(SUMPRODUCT('Trinômes'!$B$2:$B$48=Y38,'Trinômes'!$C$2:$C$48=COUNTIF(Y$21:Y38,"="&amp;Y38)-1
,ROW('Trinômes'!$A$2:$A$48)),COLUMN('Trinômes'!$A$1)-COLUMN('Trinômes'!$A$1)+1)),"",indirect("Trinômes!"&amp;ADDRESS(SUMPRODUCT('Trinômes'!$B$2:$B$48=Y38,'Trinômes'!$C$2:$C$48=COUNTIF(Y$21:Y38,"="&amp;Y38)-1
,ROW('Trinômes'!$A$2:$A$48)),COLUMN('Trinômes'!$A$1)-COLUMN('Trinômes'!$A$1)+1)))</f>
        <v>GARIN Pauline</v>
      </c>
      <c r="AA38" s="1">
        <f t="shared" si="20"/>
        <v>8</v>
      </c>
      <c r="AB38" s="114" t="str">
        <f t="array" ref="AB38">IF(ISERROR(ADDRESS(SUMPRODUCT('Trinômes'!$B$2:$B$48=AA38,'Trinômes'!$C$2:$C$48=COUNTIF(AA$21:AA38,"="&amp;AA38)-1
,ROW('Trinômes'!$A$2:$A$48)),COLUMN('Trinômes'!$A$1)-COLUMN('Trinômes'!$A$1)+1)),"",indirect("Trinômes!"&amp;ADDRESS(SUMPRODUCT('Trinômes'!$B$2:$B$48=AA38,'Trinômes'!$C$2:$C$48=COUNTIF(AA$21:AA38,"="&amp;AA38)-1
,ROW('Trinômes'!$A$2:$A$48)),COLUMN('Trinômes'!$A$1)-COLUMN('Trinômes'!$A$1)+1)))</f>
        <v>HAKIM Sarra</v>
      </c>
    </row>
    <row r="39">
      <c r="A39" s="5" t="str">
        <f>'Créneaux'!E36</f>
        <v>SI</v>
      </c>
      <c r="B39" s="30">
        <f>'Créneaux'!F36</f>
        <v>3</v>
      </c>
      <c r="C39" s="101" t="str">
        <f>'Créneaux'!G36</f>
        <v>Mme Martin</v>
      </c>
      <c r="D39" s="32" t="str">
        <f>switch('Créneaux'!H36,0,"Lundi",1,"Mardi",2,"Mercredi",3,"Jeudi",4,"Vendredi")</f>
        <v>Lundi</v>
      </c>
      <c r="E39" s="32" t="str">
        <f>'Créneaux'!I36&amp;"h"</f>
        <v>17h</v>
      </c>
      <c r="F39" s="32" t="str">
        <f>'Créneaux'!J36</f>
        <v>Prépa 36</v>
      </c>
      <c r="G39" s="34" t="str">
        <f>if(sumproduct((Colles!$A$2:$A$97=$A39),(Colles!C$2:C$97=$B39),(Colles!$B$2:$B$97))&gt;0,sumproduct((Colles!$A$2:$A$97=$A39),(Colles!C$2:C$97=$B39),(Colles!$B$2:$B$97)),"")</f>
        <v/>
      </c>
      <c r="H39" s="32">
        <f>if(sumproduct((Colles!$A$2:$A$97=$A39),(Colles!D$2:D$97=$B39),(Colles!$B$2:$B$97))&gt;0,sumproduct((Colles!$A$2:$A$97=$A39),(Colles!D$2:D$97=$B39),(Colles!$B$2:$B$97)),"")</f>
        <v>3</v>
      </c>
      <c r="I39" s="32">
        <f>if(sumproduct((Colles!$A$2:$A$97=$A39),(Colles!E$2:E$97=$B39),(Colles!$B$2:$B$97))&gt;0,sumproduct((Colles!$A$2:$A$97=$A39),(Colles!E$2:E$97=$B39),(Colles!$B$2:$B$97)),"")</f>
        <v>7</v>
      </c>
      <c r="J39" s="32">
        <f>if(sumproduct((Colles!$A$2:$A$97=$A39),(Colles!F$2:F$97=$B39),(Colles!$B$2:$B$97))&gt;0,sumproduct((Colles!$A$2:$A$97=$A39),(Colles!F$2:F$97=$B39),(Colles!$B$2:$B$97)),"")</f>
        <v>16</v>
      </c>
      <c r="K39" s="32">
        <f>if(sumproduct((Colles!$A$2:$A$97=$A39),(Colles!G$2:G$97=$B39),(Colles!$B$2:$B$97))&gt;0,sumproduct((Colles!$A$2:$A$97=$A39),(Colles!G$2:G$97=$B39),(Colles!$B$2:$B$97)),"")</f>
        <v>5</v>
      </c>
      <c r="L39" s="34"/>
      <c r="M39" s="32">
        <f>if(sumproduct((Colles!$A$2:$A$97=$A39),(Colles!I$2:I$97=$B39),(Colles!$B$2:$B$97))&gt;0,sumproduct((Colles!$A$2:$A$97=$A39),(Colles!I$2:I$97=$B39),(Colles!$B$2:$B$97)),"")</f>
        <v>2</v>
      </c>
      <c r="N39" s="32">
        <f>if(sumproduct((Colles!$A$2:$A$97=$A39),(Colles!J$2:J$97=$B39),(Colles!$B$2:$B$97))&gt;0,sumproduct((Colles!$A$2:$A$97=$A39),(Colles!J$2:J$97=$B39),(Colles!$B$2:$B$97)),"")</f>
        <v>15</v>
      </c>
      <c r="O39" s="32">
        <f>if(sumproduct((Colles!$A$2:$A$97=$A39),(Colles!K$2:K$97=$B39),(Colles!$B$2:$B$97))&gt;0,sumproduct((Colles!$A$2:$A$97=$A39),(Colles!K$2:K$97=$B39),(Colles!$B$2:$B$97)),"")</f>
        <v>10</v>
      </c>
      <c r="P39" s="32">
        <f>if(sumproduct((Colles!$A$2:$A$97=$A39),(Colles!L$2:L$97=$B39),(Colles!$B$2:$B$97))&gt;0,sumproduct((Colles!$A$2:$A$97=$A39),(Colles!L$2:L$97=$B39),(Colles!$B$2:$B$97)),"")</f>
        <v>14</v>
      </c>
      <c r="Q39" s="32">
        <f>if(sumproduct((Colles!$A$2:$A$97=$A39),(Colles!M$2:M$97=$B39),(Colles!$B$2:$B$97))&gt;0,sumproduct((Colles!$A$2:$A$97=$A39),(Colles!M$2:M$97=$B39),(Colles!$B$2:$B$97)),"")</f>
        <v>4</v>
      </c>
      <c r="R39" s="32">
        <f>if(sumproduct((Colles!$A$2:$A$97=$A39),(Colles!N$2:N$97=$B39),(Colles!$B$2:$B$97))&gt;0,sumproduct((Colles!$A$2:$A$97=$A39),(Colles!N$2:N$97=$B39),(Colles!$B$2:$B$97)),"")</f>
        <v>6</v>
      </c>
      <c r="S39" s="32">
        <f>if(sumproduct((Colles!$A$2:$A$97=$A39),(Colles!O$2:O$97=$B39),(Colles!$B$2:$B$97))&gt;0,sumproduct((Colles!$A$2:$A$97=$A39),(Colles!O$2:O$97=$B39),(Colles!$B$2:$B$97)),"")</f>
        <v>1</v>
      </c>
      <c r="T39" s="34"/>
      <c r="U39" s="34" t="str">
        <f>if(sumproduct((Colles!$A$2:$A$97=$A39),(Colles!Q$2:Q$97=$B39),(Colles!$B$2:$B$97))&gt;0,sumproduct((Colles!$A$2:$A$97=$A39),(Colles!Q$2:Q$97=$B39),(Colles!$B$2:$B$97)),"")</f>
        <v/>
      </c>
      <c r="V39" s="32">
        <f>if(sumproduct((Colles!$A$2:$A$97=$A39),(Colles!R$2:R$97=$B39),(Colles!$B$2:$B$97))&gt;0,sumproduct((Colles!$A$2:$A$97=$A39),(Colles!R$2:R$97=$B39),(Colles!$B$2:$B$97)),"")</f>
        <v>13</v>
      </c>
      <c r="W39" s="32">
        <f>if(sumproduct((Colles!$A$2:$A$97=$A39),(Colles!S$2:S$97=$B39),(Colles!$B$2:$B$97))&gt;0,sumproduct((Colles!$A$2:$A$97=$A39),(Colles!S$2:S$97=$B39),(Colles!$B$2:$B$97)),"")</f>
        <v>4</v>
      </c>
      <c r="Y39" s="1">
        <f t="shared" si="19"/>
        <v>7</v>
      </c>
      <c r="Z39" s="114" t="str">
        <f t="array" ref="Z39">IF(ISERROR(ADDRESS(SUMPRODUCT('Trinômes'!$B$2:$B$48=Y39,'Trinômes'!$C$2:$C$48=COUNTIF(Y$21:Y39,"="&amp;Y39)-1
,ROW('Trinômes'!$A$2:$A$48)),COLUMN('Trinômes'!$A$1)-COLUMN('Trinômes'!$A$1)+1)),"",indirect("Trinômes!"&amp;ADDRESS(SUMPRODUCT('Trinômes'!$B$2:$B$48=Y39,'Trinômes'!$C$2:$C$48=COUNTIF(Y$21:Y39,"="&amp;Y39)-1
,ROW('Trinômes'!$A$2:$A$48)),COLUMN('Trinômes'!$A$1)-COLUMN('Trinômes'!$A$1)+1)))</f>
        <v>GEIGER Jules</v>
      </c>
      <c r="AA39" s="1">
        <f t="shared" si="20"/>
        <v>8</v>
      </c>
      <c r="AB39" s="114" t="str">
        <f t="array" ref="AB39">IF(ISERROR(ADDRESS(SUMPRODUCT('Trinômes'!$B$2:$B$48=AA39,'Trinômes'!$C$2:$C$48=COUNTIF(AA$21:AA39,"="&amp;AA39)-1
,ROW('Trinômes'!$A$2:$A$48)),COLUMN('Trinômes'!$A$1)-COLUMN('Trinômes'!$A$1)+1)),"",indirect("Trinômes!"&amp;ADDRESS(SUMPRODUCT('Trinômes'!$B$2:$B$48=AA39,'Trinômes'!$C$2:$C$48=COUNTIF(AA$21:AA39,"="&amp;AA39)-1
,ROW('Trinômes'!$A$2:$A$48)),COLUMN('Trinômes'!$A$1)-COLUMN('Trinômes'!$A$1)+1)))</f>
        <v>LAMBIN Bérénice</v>
      </c>
    </row>
    <row r="40">
      <c r="A40" s="5" t="str">
        <f>'Créneaux'!E37</f>
        <v>SI</v>
      </c>
      <c r="B40" s="30">
        <f>'Créneaux'!F37</f>
        <v>4</v>
      </c>
      <c r="C40" s="101" t="str">
        <f>'Créneaux'!G37</f>
        <v>M. Cornette</v>
      </c>
      <c r="D40" s="32" t="str">
        <f>switch('Créneaux'!H37,0,"Lundi",1,"Mardi",2,"Mercredi",3,"Jeudi",4,"Vendredi")</f>
        <v>Lundi</v>
      </c>
      <c r="E40" s="32" t="str">
        <f>'Créneaux'!I37&amp;"h"</f>
        <v>16h</v>
      </c>
      <c r="F40" s="32" t="str">
        <f>'Créneaux'!J37</f>
        <v>Prépa 22</v>
      </c>
      <c r="G40" s="34" t="str">
        <f>if(sumproduct((Colles!$A$2:$A$97=$A40),(Colles!C$2:C$97=$B40),(Colles!$B$2:$B$97))&gt;0,sumproduct((Colles!$A$2:$A$97=$A40),(Colles!C$2:C$97=$B40),(Colles!$B$2:$B$97)),"")</f>
        <v/>
      </c>
      <c r="H40" s="32">
        <f>if(sumproduct((Colles!$A$2:$A$97=$A40),(Colles!D$2:D$97=$B40),(Colles!$B$2:$B$97))&gt;0,sumproduct((Colles!$A$2:$A$97=$A40),(Colles!D$2:D$97=$B40),(Colles!$B$2:$B$97)),"")</f>
        <v>15</v>
      </c>
      <c r="I40" s="32">
        <f>if(sumproduct((Colles!$A$2:$A$97=$A40),(Colles!E$2:E$97=$B40),(Colles!$B$2:$B$97))&gt;0,sumproduct((Colles!$A$2:$A$97=$A40),(Colles!E$2:E$97=$B40),(Colles!$B$2:$B$97)),"")</f>
        <v>8</v>
      </c>
      <c r="J40" s="32">
        <f>if(sumproduct((Colles!$A$2:$A$97=$A40),(Colles!F$2:F$97=$B40),(Colles!$B$2:$B$97))&gt;0,sumproduct((Colles!$A$2:$A$97=$A40),(Colles!F$2:F$97=$B40),(Colles!$B$2:$B$97)),"")</f>
        <v>12</v>
      </c>
      <c r="K40" s="32">
        <f>if(sumproduct((Colles!$A$2:$A$97=$A40),(Colles!G$2:G$97=$B40),(Colles!$B$2:$B$97))&gt;0,sumproduct((Colles!$A$2:$A$97=$A40),(Colles!G$2:G$97=$B40),(Colles!$B$2:$B$97)),"")</f>
        <v>11</v>
      </c>
      <c r="L40" s="34"/>
      <c r="M40" s="32">
        <f>if(sumproduct((Colles!$A$2:$A$97=$A40),(Colles!I$2:I$97=$B40),(Colles!$B$2:$B$97))&gt;0,sumproduct((Colles!$A$2:$A$97=$A40),(Colles!I$2:I$97=$B40),(Colles!$B$2:$B$97)),"")</f>
        <v>4</v>
      </c>
      <c r="N40" s="32">
        <f>if(sumproduct((Colles!$A$2:$A$97=$A40),(Colles!J$2:J$97=$B40),(Colles!$B$2:$B$97))&gt;0,sumproduct((Colles!$A$2:$A$97=$A40),(Colles!J$2:J$97=$B40),(Colles!$B$2:$B$97)),"")</f>
        <v>7</v>
      </c>
      <c r="O40" s="32">
        <f>if(sumproduct((Colles!$A$2:$A$97=$A40),(Colles!K$2:K$97=$B40),(Colles!$B$2:$B$97))&gt;0,sumproduct((Colles!$A$2:$A$97=$A40),(Colles!K$2:K$97=$B40),(Colles!$B$2:$B$97)),"")</f>
        <v>11</v>
      </c>
      <c r="P40" s="32">
        <f>if(sumproduct((Colles!$A$2:$A$97=$A40),(Colles!L$2:L$97=$B40),(Colles!$B$2:$B$97))&gt;0,sumproduct((Colles!$A$2:$A$97=$A40),(Colles!L$2:L$97=$B40),(Colles!$B$2:$B$97)),"")</f>
        <v>16</v>
      </c>
      <c r="Q40" s="32">
        <f>if(sumproduct((Colles!$A$2:$A$97=$A40),(Colles!M$2:M$97=$B40),(Colles!$B$2:$B$97))&gt;0,sumproduct((Colles!$A$2:$A$97=$A40),(Colles!M$2:M$97=$B40),(Colles!$B$2:$B$97)),"")</f>
        <v>8</v>
      </c>
      <c r="R40" s="32">
        <f>if(sumproduct((Colles!$A$2:$A$97=$A40),(Colles!N$2:N$97=$B40),(Colles!$B$2:$B$97))&gt;0,sumproduct((Colles!$A$2:$A$97=$A40),(Colles!N$2:N$97=$B40),(Colles!$B$2:$B$97)),"")</f>
        <v>5</v>
      </c>
      <c r="S40" s="32">
        <f>if(sumproduct((Colles!$A$2:$A$97=$A40),(Colles!O$2:O$97=$B40),(Colles!$B$2:$B$97))&gt;0,sumproduct((Colles!$A$2:$A$97=$A40),(Colles!O$2:O$97=$B40),(Colles!$B$2:$B$97)),"")</f>
        <v>14</v>
      </c>
      <c r="T40" s="34"/>
      <c r="U40" s="34" t="str">
        <f>if(sumproduct((Colles!$A$2:$A$97=$A40),(Colles!Q$2:Q$97=$B40),(Colles!$B$2:$B$97))&gt;0,sumproduct((Colles!$A$2:$A$97=$A40),(Colles!Q$2:Q$97=$B40),(Colles!$B$2:$B$97)),"")</f>
        <v/>
      </c>
      <c r="V40" s="32">
        <f>if(sumproduct((Colles!$A$2:$A$97=$A40),(Colles!R$2:R$97=$B40),(Colles!$B$2:$B$97))&gt;0,sumproduct((Colles!$A$2:$A$97=$A40),(Colles!R$2:R$97=$B40),(Colles!$B$2:$B$97)),"")</f>
        <v>10</v>
      </c>
      <c r="W40" s="32">
        <f>if(sumproduct((Colles!$A$2:$A$97=$A40),(Colles!S$2:S$97=$B40),(Colles!$B$2:$B$97))&gt;0,sumproduct((Colles!$A$2:$A$97=$A40),(Colles!S$2:S$97=$B40),(Colles!$B$2:$B$97)),"")</f>
        <v>8</v>
      </c>
      <c r="Y40" s="1">
        <f t="shared" si="19"/>
        <v>7</v>
      </c>
      <c r="Z40" s="1"/>
      <c r="AA40" s="1">
        <f t="shared" si="20"/>
        <v>8</v>
      </c>
      <c r="AB40" s="1"/>
    </row>
    <row r="41">
      <c r="A41" s="5"/>
      <c r="C41" s="119" t="str">
        <f>A42</f>
        <v>Physique</v>
      </c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Y41" s="1">
        <f>AA36+1</f>
        <v>9</v>
      </c>
      <c r="Z41" s="111" t="str">
        <f>Y41&amp;IF(SUMPRODUCT('Trinômes'!$A$2:$A$48=Z42,'Trinômes'!$D$2:$D$48&lt;&gt;0)+SUMPRODUCT('Trinômes'!$A$2:$A$48=Z43,'Trinômes'!$D$2:$D$48&lt;&gt;0)+SUMPRODUCT('Trinômes'!$A$2:$A$48=Z44,'Trinômes'!$D$2:$D$48&lt;&gt;0)&gt;0," – LV2","")</f>
        <v>9</v>
      </c>
      <c r="AA41" s="112">
        <f>Y41+1</f>
        <v>10</v>
      </c>
      <c r="AB41" s="113" t="str">
        <f>AA41&amp;IF(SUMPRODUCT('Trinômes'!$A$2:$A$48=AB42,'Trinômes'!$D$2:$D$48&lt;&gt;0)+SUMPRODUCT('Trinômes'!$A$2:$A$48=AB43,'Trinômes'!$D$2:$D$48&lt;&gt;0)+SUMPRODUCT('Trinômes'!$A$2:$A$48=AB44,'Trinômes'!$D$2:$D$48&lt;&gt;0)&gt;0," – LV2","")</f>
        <v>10</v>
      </c>
    </row>
    <row r="42">
      <c r="A42" s="5" t="str">
        <f>'Créneaux'!E18</f>
        <v>Physique</v>
      </c>
      <c r="B42" s="30">
        <f>'Créneaux'!F18</f>
        <v>1</v>
      </c>
      <c r="C42" s="101" t="str">
        <f>'Créneaux'!G18</f>
        <v>Mme Vives</v>
      </c>
      <c r="D42" s="32" t="str">
        <f>switch('Créneaux'!H18,0,"Lundi",1,"Mardi",2,"Mercredi",3,"Jeudi",4,"Vendredi")</f>
        <v>Jeudi</v>
      </c>
      <c r="E42" s="32" t="str">
        <f>'Créneaux'!I18&amp;"h"</f>
        <v>14h</v>
      </c>
      <c r="F42" s="32" t="str">
        <f>'Créneaux'!J18</f>
        <v>Prépa 23</v>
      </c>
      <c r="G42" s="34" t="str">
        <f>if(sumproduct((Colles!$A$2:$A$97=$A42),(Colles!C$2:C$97=$B42),(Colles!$B$2:$B$97))&gt;0,sumproduct((Colles!$A$2:$A$97=$A42),(Colles!C$2:C$97=$B42),(Colles!$B$2:$B$97)),"")</f>
        <v/>
      </c>
      <c r="H42" s="103">
        <f>if(sumproduct((Colles!$A$2:$A$97=$A42),(Colles!D$2:D$97=$B42),(Colles!$B$2:$B$97))&gt;0,sumproduct((Colles!$A$2:$A$97=$A42),(Colles!D$2:D$97=$B42),(Colles!$B$2:$B$97)),"")</f>
        <v>16</v>
      </c>
      <c r="I42" s="32">
        <f>if(sumproduct((Colles!$A$2:$A$97=$A42),(Colles!E$2:E$97=$B42),(Colles!$B$2:$B$97))&gt;0,sumproduct((Colles!$A$2:$A$97=$A42),(Colles!E$2:E$97=$B42),(Colles!$B$2:$B$97)),"")</f>
        <v>15</v>
      </c>
      <c r="J42" s="103">
        <f>if(sumproduct((Colles!$A$2:$A$97=$A42),(Colles!F$2:F$97=$B42),(Colles!$B$2:$B$97))&gt;0,sumproduct((Colles!$A$2:$A$97=$A42),(Colles!F$2:F$97=$B42),(Colles!$B$2:$B$97)),"")</f>
        <v>10</v>
      </c>
      <c r="K42" s="32">
        <f>if(sumproduct((Colles!$A$2:$A$97=$A42),(Colles!G$2:G$97=$B42),(Colles!$B$2:$B$97))&gt;0,sumproduct((Colles!$A$2:$A$97=$A42),(Colles!G$2:G$97=$B42),(Colles!$B$2:$B$97)),"")</f>
        <v>9</v>
      </c>
      <c r="L42" s="34"/>
      <c r="M42" s="103">
        <f>if(sumproduct((Colles!$A$2:$A$97=$A42),(Colles!I$2:I$97=$B42),(Colles!$B$2:$B$97))&gt;0,sumproduct((Colles!$A$2:$A$97=$A42),(Colles!I$2:I$97=$B42),(Colles!$B$2:$B$97)),"")</f>
        <v>2</v>
      </c>
      <c r="N42" s="32">
        <f>if(sumproduct((Colles!$A$2:$A$97=$A42),(Colles!J$2:J$97=$B42),(Colles!$B$2:$B$97))&gt;0,sumproduct((Colles!$A$2:$A$97=$A42),(Colles!J$2:J$97=$B42),(Colles!$B$2:$B$97)),"")</f>
        <v>3</v>
      </c>
      <c r="O42" s="103">
        <f>if(sumproduct((Colles!$A$2:$A$97=$A42),(Colles!K$2:K$97=$B42),(Colles!$B$2:$B$97))&gt;0,sumproduct((Colles!$A$2:$A$97=$A42),(Colles!K$2:K$97=$B42),(Colles!$B$2:$B$97)),"")</f>
        <v>8</v>
      </c>
      <c r="P42" s="32">
        <f>if(sumproduct((Colles!$A$2:$A$97=$A42),(Colles!L$2:L$97=$B42),(Colles!$B$2:$B$97))&gt;0,sumproduct((Colles!$A$2:$A$97=$A42),(Colles!L$2:L$97=$B42),(Colles!$B$2:$B$97)),"")</f>
        <v>1</v>
      </c>
      <c r="Q42" s="103">
        <f>if(sumproduct((Colles!$A$2:$A$97=$A42),(Colles!M$2:M$97=$B42),(Colles!$B$2:$B$97))&gt;0,sumproduct((Colles!$A$2:$A$97=$A42),(Colles!M$2:M$97=$B42),(Colles!$B$2:$B$97)),"")</f>
        <v>4</v>
      </c>
      <c r="R42" s="32">
        <f>if(sumproduct((Colles!$A$2:$A$97=$A42),(Colles!N$2:N$97=$B42),(Colles!$B$2:$B$97))&gt;0,sumproduct((Colles!$A$2:$A$97=$A42),(Colles!N$2:N$97=$B42),(Colles!$B$2:$B$97)),"")</f>
        <v>5</v>
      </c>
      <c r="S42" s="103">
        <f>if(sumproduct((Colles!$A$2:$A$97=$A42),(Colles!O$2:O$97=$B42),(Colles!$B$2:$B$97))&gt;0,sumproduct((Colles!$A$2:$A$97=$A42),(Colles!O$2:O$97=$B42),(Colles!$B$2:$B$97)),"")</f>
        <v>10</v>
      </c>
      <c r="T42" s="34"/>
      <c r="U42" s="34" t="str">
        <f>if(sumproduct((Colles!$A$2:$A$97=$A42),(Colles!Q$2:Q$97=$B42),(Colles!$B$2:$B$97))&gt;0,sumproduct((Colles!$A$2:$A$97=$A42),(Colles!Q$2:Q$97=$B42),(Colles!$B$2:$B$97)),"")</f>
        <v/>
      </c>
      <c r="V42" s="32">
        <f>if(sumproduct((Colles!$A$2:$A$97=$A42),(Colles!R$2:R$97=$B42),(Colles!$B$2:$B$97))&gt;0,sumproduct((Colles!$A$2:$A$97=$A42),(Colles!R$2:R$97=$B42),(Colles!$B$2:$B$97)),"")</f>
        <v>7</v>
      </c>
      <c r="W42" s="103">
        <f>if(sumproduct((Colles!$A$2:$A$97=$A42),(Colles!S$2:S$97=$B42),(Colles!$B$2:$B$97))&gt;0,sumproduct((Colles!$A$2:$A$97=$A42),(Colles!S$2:S$97=$B42),(Colles!$B$2:$B$97)),"")</f>
        <v>14</v>
      </c>
      <c r="Y42" s="1">
        <f t="shared" ref="Y42:Y45" si="21">Y41</f>
        <v>9</v>
      </c>
      <c r="Z42" s="114" t="str">
        <f t="array" ref="Z42">IF(ISERROR(ADDRESS(SUMPRODUCT('Trinômes'!$B$2:$B$48=Y42,'Trinômes'!$C$2:$C$48=COUNTIF(Y$21:Y42,"="&amp;Y42)-1
,ROW('Trinômes'!$A$2:$A$48)),COLUMN('Trinômes'!$A$1)-COLUMN('Trinômes'!$A$1)+1)),"",indirect("Trinômes!"&amp;ADDRESS(SUMPRODUCT('Trinômes'!$B$2:$B$48=Y42,'Trinômes'!$C$2:$C$48=COUNTIF(Y$21:Y42,"="&amp;Y42)-1
,ROW('Trinômes'!$A$2:$A$48)),COLUMN('Trinômes'!$A$1)-COLUMN('Trinômes'!$A$1)+1)))</f>
        <v>LANDRIEU Hugo</v>
      </c>
      <c r="AA42" s="1">
        <f t="shared" ref="AA42:AA45" si="22">AA41</f>
        <v>10</v>
      </c>
      <c r="AB42" s="114" t="str">
        <f t="array" ref="AB42">IF(ISERROR(ADDRESS(SUMPRODUCT('Trinômes'!$B$2:$B$48=AA42,'Trinômes'!$C$2:$C$48=COUNTIF(AA$21:AA42,"="&amp;AA42)-1
,ROW('Trinômes'!$A$2:$A$48)),COLUMN('Trinômes'!$A$1)-COLUMN('Trinômes'!$A$1)+1)),"",indirect("Trinômes!"&amp;ADDRESS(SUMPRODUCT('Trinômes'!$B$2:$B$48=AA42,'Trinômes'!$C$2:$C$48=COUNTIF(AA$21:AA42,"="&amp;AA42)-1
,ROW('Trinômes'!$A$2:$A$48)),COLUMN('Trinômes'!$A$1)-COLUMN('Trinômes'!$A$1)+1)))</f>
        <v>LUMINATI Baptiste</v>
      </c>
    </row>
    <row r="43">
      <c r="A43" s="5" t="str">
        <f>'Créneaux'!E19</f>
        <v>Physique</v>
      </c>
      <c r="B43" s="30">
        <f>'Créneaux'!F19</f>
        <v>2</v>
      </c>
      <c r="C43" s="101" t="str">
        <f>'Créneaux'!G19</f>
        <v>Mme Vives</v>
      </c>
      <c r="D43" s="32" t="str">
        <f>switch('Créneaux'!H19,0,"Lundi",1,"Mardi",2,"Mercredi",3,"Jeudi",4,"Vendredi")</f>
        <v>Jeudi</v>
      </c>
      <c r="E43" s="32" t="str">
        <f>'Créneaux'!I19&amp;"h"</f>
        <v>15h</v>
      </c>
      <c r="F43" s="32" t="str">
        <f>'Créneaux'!J19</f>
        <v>Prépa 23</v>
      </c>
      <c r="G43" s="34" t="str">
        <f>if(sumproduct((Colles!$A$2:$A$97=$A43),(Colles!C$2:C$97=$B43),(Colles!$B$2:$B$97))&gt;0,sumproduct((Colles!$A$2:$A$97=$A43),(Colles!C$2:C$97=$B43),(Colles!$B$2:$B$97)),"")</f>
        <v/>
      </c>
      <c r="H43" s="103">
        <f>if(sumproduct((Colles!$A$2:$A$97=$A43),(Colles!D$2:D$97=$B43),(Colles!$B$2:$B$97))&gt;0,sumproduct((Colles!$A$2:$A$97=$A43),(Colles!D$2:D$97=$B43),(Colles!$B$2:$B$97)),"")</f>
        <v>12</v>
      </c>
      <c r="I43" s="32">
        <f>if(sumproduct((Colles!$A$2:$A$97=$A43),(Colles!E$2:E$97=$B43),(Colles!$B$2:$B$97))&gt;0,sumproduct((Colles!$A$2:$A$97=$A43),(Colles!E$2:E$97=$B43),(Colles!$B$2:$B$97)),"")</f>
        <v>5</v>
      </c>
      <c r="J43" s="103">
        <f>if(sumproduct((Colles!$A$2:$A$97=$A43),(Colles!F$2:F$97=$B43),(Colles!$B$2:$B$97))&gt;0,sumproduct((Colles!$A$2:$A$97=$A43),(Colles!F$2:F$97=$B43),(Colles!$B$2:$B$97)),"")</f>
        <v>4</v>
      </c>
      <c r="K43" s="32">
        <f>if(sumproduct((Colles!$A$2:$A$97=$A43),(Colles!G$2:G$97=$B43),(Colles!$B$2:$B$97))&gt;0,sumproduct((Colles!$A$2:$A$97=$A43),(Colles!G$2:G$97=$B43),(Colles!$B$2:$B$97)),"")</f>
        <v>7</v>
      </c>
      <c r="L43" s="34"/>
      <c r="M43" s="103">
        <f>if(sumproduct((Colles!$A$2:$A$97=$A43),(Colles!I$2:I$97=$B43),(Colles!$B$2:$B$97))&gt;0,sumproduct((Colles!$A$2:$A$97=$A43),(Colles!I$2:I$97=$B43),(Colles!$B$2:$B$97)),"")</f>
        <v>14</v>
      </c>
      <c r="N43" s="32">
        <f>if(sumproduct((Colles!$A$2:$A$97=$A43),(Colles!J$2:J$97=$B43),(Colles!$B$2:$B$97))&gt;0,sumproduct((Colles!$A$2:$A$97=$A43),(Colles!J$2:J$97=$B43),(Colles!$B$2:$B$97)),"")</f>
        <v>11</v>
      </c>
      <c r="O43" s="103">
        <f>if(sumproduct((Colles!$A$2:$A$97=$A43),(Colles!K$2:K$97=$B43),(Colles!$B$2:$B$97))&gt;0,sumproduct((Colles!$A$2:$A$97=$A43),(Colles!K$2:K$97=$B43),(Colles!$B$2:$B$97)),"")</f>
        <v>16</v>
      </c>
      <c r="P43" s="32">
        <f>if(sumproduct((Colles!$A$2:$A$97=$A43),(Colles!L$2:L$97=$B43),(Colles!$B$2:$B$97))&gt;0,sumproduct((Colles!$A$2:$A$97=$A43),(Colles!L$2:L$97=$B43),(Colles!$B$2:$B$97)),"")</f>
        <v>13</v>
      </c>
      <c r="Q43" s="103">
        <f>if(sumproduct((Colles!$A$2:$A$97=$A43),(Colles!M$2:M$97=$B43),(Colles!$B$2:$B$97))&gt;0,sumproduct((Colles!$A$2:$A$97=$A43),(Colles!M$2:M$97=$B43),(Colles!$B$2:$B$97)),"")</f>
        <v>6</v>
      </c>
      <c r="R43" s="32">
        <f>if(sumproduct((Colles!$A$2:$A$97=$A43),(Colles!N$2:N$97=$B43),(Colles!$B$2:$B$97))&gt;0,sumproduct((Colles!$A$2:$A$97=$A43),(Colles!N$2:N$97=$B43),(Colles!$B$2:$B$97)),"")</f>
        <v>11</v>
      </c>
      <c r="S43" s="103">
        <f>if(sumproduct((Colles!$A$2:$A$97=$A43),(Colles!O$2:O$97=$B43),(Colles!$B$2:$B$97))&gt;0,sumproduct((Colles!$A$2:$A$97=$A43),(Colles!O$2:O$97=$B43),(Colles!$B$2:$B$97)),"")</f>
        <v>16</v>
      </c>
      <c r="T43" s="34"/>
      <c r="U43" s="34" t="str">
        <f>if(sumproduct((Colles!$A$2:$A$97=$A43),(Colles!Q$2:Q$97=$B43),(Colles!$B$2:$B$97))&gt;0,sumproduct((Colles!$A$2:$A$97=$A43),(Colles!Q$2:Q$97=$B43),(Colles!$B$2:$B$97)),"")</f>
        <v/>
      </c>
      <c r="V43" s="32">
        <f>if(sumproduct((Colles!$A$2:$A$97=$A43),(Colles!R$2:R$97=$B43),(Colles!$B$2:$B$97))&gt;0,sumproduct((Colles!$A$2:$A$97=$A43),(Colles!R$2:R$97=$B43),(Colles!$B$2:$B$97)),"")</f>
        <v>15</v>
      </c>
      <c r="W43" s="103">
        <f>if(sumproduct((Colles!$A$2:$A$97=$A43),(Colles!S$2:S$97=$B43),(Colles!$B$2:$B$97))&gt;0,sumproduct((Colles!$A$2:$A$97=$A43),(Colles!S$2:S$97=$B43),(Colles!$B$2:$B$97)),"")</f>
        <v>8</v>
      </c>
      <c r="Y43" s="1">
        <f t="shared" si="21"/>
        <v>9</v>
      </c>
      <c r="Z43" s="114" t="str">
        <f t="array" ref="Z43">IF(ISERROR(ADDRESS(SUMPRODUCT('Trinômes'!$B$2:$B$48=Y43,'Trinômes'!$C$2:$C$48=COUNTIF(Y$21:Y43,"="&amp;Y43)-1
,ROW('Trinômes'!$A$2:$A$48)),COLUMN('Trinômes'!$A$1)-COLUMN('Trinômes'!$A$1)+1)),"",indirect("Trinômes!"&amp;ADDRESS(SUMPRODUCT('Trinômes'!$B$2:$B$48=Y43,'Trinômes'!$C$2:$C$48=COUNTIF(Y$21:Y43,"="&amp;Y43)-1
,ROW('Trinômes'!$A$2:$A$48)),COLUMN('Trinômes'!$A$1)-COLUMN('Trinômes'!$A$1)+1)))</f>
        <v>LE CUE Hector</v>
      </c>
      <c r="AA43" s="1">
        <f t="shared" si="22"/>
        <v>10</v>
      </c>
      <c r="AB43" s="114" t="str">
        <f t="array" ref="AB43">IF(ISERROR(ADDRESS(SUMPRODUCT('Trinômes'!$B$2:$B$48=AA43,'Trinômes'!$C$2:$C$48=COUNTIF(AA$21:AA43,"="&amp;AA43)-1
,ROW('Trinômes'!$A$2:$A$48)),COLUMN('Trinômes'!$A$1)-COLUMN('Trinômes'!$A$1)+1)),"",indirect("Trinômes!"&amp;ADDRESS(SUMPRODUCT('Trinômes'!$B$2:$B$48=AA43,'Trinômes'!$C$2:$C$48=COUNTIF(AA$21:AA43,"="&amp;AA43)-1
,ROW('Trinômes'!$A$2:$A$48)),COLUMN('Trinômes'!$A$1)-COLUMN('Trinômes'!$A$1)+1)))</f>
        <v>MAUBOIS Morgane</v>
      </c>
    </row>
    <row r="44">
      <c r="A44" s="5" t="str">
        <f>'Créneaux'!E20</f>
        <v>Physique</v>
      </c>
      <c r="B44" s="30">
        <f>'Créneaux'!F20</f>
        <v>3</v>
      </c>
      <c r="C44" s="101" t="str">
        <f>'Créneaux'!G20</f>
        <v>Mme Pampana</v>
      </c>
      <c r="D44" s="32" t="str">
        <f>switch('Créneaux'!H20,0,"Lundi",1,"Mardi",2,"Mercredi",3,"Jeudi",4,"Vendredi")</f>
        <v>Lundi</v>
      </c>
      <c r="E44" s="32" t="str">
        <f>'Créneaux'!I20&amp;"h"</f>
        <v>17h</v>
      </c>
      <c r="F44" s="32" t="str">
        <f>'Créneaux'!J20</f>
        <v>Prépa 25</v>
      </c>
      <c r="G44" s="34" t="str">
        <f>if(sumproduct((Colles!$A$2:$A$97=$A44),(Colles!C$2:C$97=$B44),(Colles!$B$2:$B$97))&gt;0,sumproduct((Colles!$A$2:$A$97=$A44),(Colles!C$2:C$97=$B44),(Colles!$B$2:$B$97)),"")</f>
        <v/>
      </c>
      <c r="H44" s="103">
        <f>if(sumproduct((Colles!$A$2:$A$97=$A44),(Colles!D$2:D$97=$B44),(Colles!$B$2:$B$97))&gt;0,sumproduct((Colles!$A$2:$A$97=$A44),(Colles!D$2:D$97=$B44),(Colles!$B$2:$B$97)),"")</f>
        <v>4</v>
      </c>
      <c r="I44" s="32">
        <f>if(sumproduct((Colles!$A$2:$A$97=$A44),(Colles!E$2:E$97=$B44),(Colles!$B$2:$B$97))&gt;0,sumproduct((Colles!$A$2:$A$97=$A44),(Colles!E$2:E$97=$B44),(Colles!$B$2:$B$97)),"")</f>
        <v>1</v>
      </c>
      <c r="J44" s="103">
        <f>if(sumproduct((Colles!$A$2:$A$97=$A44),(Colles!F$2:F$97=$B44),(Colles!$B$2:$B$97))&gt;0,sumproduct((Colles!$A$2:$A$97=$A44),(Colles!F$2:F$97=$B44),(Colles!$B$2:$B$97)),"")</f>
        <v>6</v>
      </c>
      <c r="K44" s="32">
        <f>if(sumproduct((Colles!$A$2:$A$97=$A44),(Colles!G$2:G$97=$B44),(Colles!$B$2:$B$97))&gt;0,sumproduct((Colles!$A$2:$A$97=$A44),(Colles!G$2:G$97=$B44),(Colles!$B$2:$B$97)),"")</f>
        <v>15</v>
      </c>
      <c r="L44" s="34"/>
      <c r="M44" s="103">
        <f>if(sumproduct((Colles!$A$2:$A$97=$A44),(Colles!I$2:I$97=$B44),(Colles!$B$2:$B$97))&gt;0,sumproduct((Colles!$A$2:$A$97=$A44),(Colles!I$2:I$97=$B44),(Colles!$B$2:$B$97)),"")</f>
        <v>10</v>
      </c>
      <c r="N44" s="32">
        <f>if(sumproduct((Colles!$A$2:$A$97=$A44),(Colles!J$2:J$97=$B44),(Colles!$B$2:$B$97))&gt;0,sumproduct((Colles!$A$2:$A$97=$A44),(Colles!J$2:J$97=$B44),(Colles!$B$2:$B$97)),"")</f>
        <v>13</v>
      </c>
      <c r="O44" s="103">
        <f>if(sumproduct((Colles!$A$2:$A$97=$A44),(Colles!K$2:K$97=$B44),(Colles!$B$2:$B$97))&gt;0,sumproduct((Colles!$A$2:$A$97=$A44),(Colles!K$2:K$97=$B44),(Colles!$B$2:$B$97)),"")</f>
        <v>14</v>
      </c>
      <c r="P44" s="32">
        <f>if(sumproduct((Colles!$A$2:$A$97=$A44),(Colles!L$2:L$97=$B44),(Colles!$B$2:$B$97))&gt;0,sumproduct((Colles!$A$2:$A$97=$A44),(Colles!L$2:L$97=$B44),(Colles!$B$2:$B$97)),"")</f>
        <v>11</v>
      </c>
      <c r="Q44" s="103">
        <f>if(sumproduct((Colles!$A$2:$A$97=$A44),(Colles!M$2:M$97=$B44),(Colles!$B$2:$B$97))&gt;0,sumproduct((Colles!$A$2:$A$97=$A44),(Colles!M$2:M$97=$B44),(Colles!$B$2:$B$97)),"")</f>
        <v>2</v>
      </c>
      <c r="R44" s="32">
        <f>if(sumproduct((Colles!$A$2:$A$97=$A44),(Colles!N$2:N$97=$B44),(Colles!$B$2:$B$97))&gt;0,sumproduct((Colles!$A$2:$A$97=$A44),(Colles!N$2:N$97=$B44),(Colles!$B$2:$B$97)),"")</f>
        <v>3</v>
      </c>
      <c r="S44" s="103">
        <f>if(sumproduct((Colles!$A$2:$A$97=$A44),(Colles!O$2:O$97=$B44),(Colles!$B$2:$B$97))&gt;0,sumproduct((Colles!$A$2:$A$97=$A44),(Colles!O$2:O$97=$B44),(Colles!$B$2:$B$97)),"")</f>
        <v>4</v>
      </c>
      <c r="T44" s="34"/>
      <c r="U44" s="34" t="str">
        <f>if(sumproduct((Colles!$A$2:$A$97=$A44),(Colles!Q$2:Q$97=$B44),(Colles!$B$2:$B$97))&gt;0,sumproduct((Colles!$A$2:$A$97=$A44),(Colles!Q$2:Q$97=$B44),(Colles!$B$2:$B$97)),"")</f>
        <v/>
      </c>
      <c r="V44" s="32">
        <f>if(sumproduct((Colles!$A$2:$A$97=$A44),(Colles!R$2:R$97=$B44),(Colles!$B$2:$B$97))&gt;0,sumproduct((Colles!$A$2:$A$97=$A44),(Colles!R$2:R$97=$B44),(Colles!$B$2:$B$97)),"")</f>
        <v>5</v>
      </c>
      <c r="W44" s="103">
        <f>if(sumproduct((Colles!$A$2:$A$97=$A44),(Colles!S$2:S$97=$B44),(Colles!$B$2:$B$97))&gt;0,sumproduct((Colles!$A$2:$A$97=$A44),(Colles!S$2:S$97=$B44),(Colles!$B$2:$B$97)),"")</f>
        <v>6</v>
      </c>
      <c r="Y44" s="1">
        <f t="shared" si="21"/>
        <v>9</v>
      </c>
      <c r="Z44" s="114" t="str">
        <f t="array" ref="Z44">IF(ISERROR(ADDRESS(SUMPRODUCT('Trinômes'!$B$2:$B$48=Y44,'Trinômes'!$C$2:$C$48=COUNTIF(Y$21:Y44,"="&amp;Y44)-1
,ROW('Trinômes'!$A$2:$A$48)),COLUMN('Trinômes'!$A$1)-COLUMN('Trinômes'!$A$1)+1)),"",indirect("Trinômes!"&amp;ADDRESS(SUMPRODUCT('Trinômes'!$B$2:$B$48=Y44,'Trinômes'!$C$2:$C$48=COUNTIF(Y$21:Y44,"="&amp;Y44)-1
,ROW('Trinômes'!$A$2:$A$48)),COLUMN('Trinômes'!$A$1)-COLUMN('Trinômes'!$A$1)+1)))</f>
        <v>VIROT--FINET Raphaël</v>
      </c>
      <c r="AA44" s="1">
        <f t="shared" si="22"/>
        <v>10</v>
      </c>
      <c r="AB44" s="114" t="str">
        <f t="array" ref="AB44">IF(ISERROR(ADDRESS(SUMPRODUCT('Trinômes'!$B$2:$B$48=AA44,'Trinômes'!$C$2:$C$48=COUNTIF(AA$21:AA44,"="&amp;AA44)-1
,ROW('Trinômes'!$A$2:$A$48)),COLUMN('Trinômes'!$A$1)-COLUMN('Trinômes'!$A$1)+1)),"",indirect("Trinômes!"&amp;ADDRESS(SUMPRODUCT('Trinômes'!$B$2:$B$48=AA44,'Trinômes'!$C$2:$C$48=COUNTIF(AA$21:AA44,"="&amp;AA44)-1
,ROW('Trinômes'!$A$2:$A$48)),COLUMN('Trinômes'!$A$1)-COLUMN('Trinômes'!$A$1)+1)))</f>
        <v>MION--SANTARELLI Pierre-Ange</v>
      </c>
    </row>
    <row r="45">
      <c r="A45" s="5" t="str">
        <f>'Créneaux'!E21</f>
        <v>Physique</v>
      </c>
      <c r="B45" s="30">
        <f>'Créneaux'!F21</f>
        <v>4</v>
      </c>
      <c r="C45" s="101" t="str">
        <f>'Créneaux'!G21</f>
        <v>Mme Pampana</v>
      </c>
      <c r="D45" s="32" t="str">
        <f>switch('Créneaux'!H21,0,"Lundi",1,"Mardi",2,"Mercredi",3,"Jeudi",4,"Vendredi")</f>
        <v>Jeudi</v>
      </c>
      <c r="E45" s="32" t="str">
        <f>'Créneaux'!I21&amp;"h"</f>
        <v>12h</v>
      </c>
      <c r="F45" s="32" t="str">
        <f>'Créneaux'!J21</f>
        <v>Prépa 22</v>
      </c>
      <c r="G45" s="34" t="str">
        <f>if(sumproduct((Colles!$A$2:$A$97=$A45),(Colles!C$2:C$97=$B45),(Colles!$B$2:$B$97))&gt;0,sumproduct((Colles!$A$2:$A$97=$A45),(Colles!C$2:C$97=$B45),(Colles!$B$2:$B$97)),"")</f>
        <v/>
      </c>
      <c r="H45" s="103">
        <f>if(sumproduct((Colles!$A$2:$A$97=$A45),(Colles!D$2:D$97=$B45),(Colles!$B$2:$B$97))&gt;0,sumproduct((Colles!$A$2:$A$97=$A45),(Colles!D$2:D$97=$B45),(Colles!$B$2:$B$97)),"")</f>
        <v>2</v>
      </c>
      <c r="I45" s="32">
        <f>if(sumproduct((Colles!$A$2:$A$97=$A45),(Colles!E$2:E$97=$B45),(Colles!$B$2:$B$97))&gt;0,sumproduct((Colles!$A$2:$A$97=$A45),(Colles!E$2:E$97=$B45),(Colles!$B$2:$B$97)),"")</f>
        <v>3</v>
      </c>
      <c r="J45" s="103">
        <f>if(sumproduct((Colles!$A$2:$A$97=$A45),(Colles!F$2:F$97=$B45),(Colles!$B$2:$B$97))&gt;0,sumproduct((Colles!$A$2:$A$97=$A45),(Colles!F$2:F$97=$B45),(Colles!$B$2:$B$97)),"")</f>
        <v>8</v>
      </c>
      <c r="K45" s="32">
        <f>if(sumproduct((Colles!$A$2:$A$97=$A45),(Colles!G$2:G$97=$B45),(Colles!$B$2:$B$97))&gt;0,sumproduct((Colles!$A$2:$A$97=$A45),(Colles!G$2:G$97=$B45),(Colles!$B$2:$B$97)),"")</f>
        <v>5</v>
      </c>
      <c r="L45" s="34"/>
      <c r="M45" s="103">
        <f>if(sumproduct((Colles!$A$2:$A$97=$A45),(Colles!I$2:I$97=$B45),(Colles!$B$2:$B$97))&gt;0,sumproduct((Colles!$A$2:$A$97=$A45),(Colles!I$2:I$97=$B45),(Colles!$B$2:$B$97)),"")</f>
        <v>4</v>
      </c>
      <c r="N45" s="32">
        <f>if(sumproduct((Colles!$A$2:$A$97=$A45),(Colles!J$2:J$97=$B45),(Colles!$B$2:$B$97))&gt;0,sumproduct((Colles!$A$2:$A$97=$A45),(Colles!J$2:J$97=$B45),(Colles!$B$2:$B$97)),"")</f>
        <v>1</v>
      </c>
      <c r="O45" s="103">
        <f>if(sumproduct((Colles!$A$2:$A$97=$A45),(Colles!K$2:K$97=$B45),(Colles!$B$2:$B$97))&gt;0,sumproduct((Colles!$A$2:$A$97=$A45),(Colles!K$2:K$97=$B45),(Colles!$B$2:$B$97)),"")</f>
        <v>6</v>
      </c>
      <c r="P45" s="32">
        <f>if(sumproduct((Colles!$A$2:$A$97=$A45),(Colles!L$2:L$97=$B45),(Colles!$B$2:$B$97))&gt;0,sumproduct((Colles!$A$2:$A$97=$A45),(Colles!L$2:L$97=$B45),(Colles!$B$2:$B$97)),"")</f>
        <v>7</v>
      </c>
      <c r="Q45" s="103">
        <f>if(sumproduct((Colles!$A$2:$A$97=$A45),(Colles!M$2:M$97=$B45),(Colles!$B$2:$B$97))&gt;0,sumproduct((Colles!$A$2:$A$97=$A45),(Colles!M$2:M$97=$B45),(Colles!$B$2:$B$97)),"")</f>
        <v>12</v>
      </c>
      <c r="R45" s="32">
        <f>if(sumproduct((Colles!$A$2:$A$97=$A45),(Colles!N$2:N$97=$B45),(Colles!$B$2:$B$97))&gt;0,sumproduct((Colles!$A$2:$A$97=$A45),(Colles!N$2:N$97=$B45),(Colles!$B$2:$B$97)),"")</f>
        <v>13</v>
      </c>
      <c r="S45" s="103">
        <f>if(sumproduct((Colles!$A$2:$A$97=$A45),(Colles!O$2:O$97=$B45),(Colles!$B$2:$B$97))&gt;0,sumproduct((Colles!$A$2:$A$97=$A45),(Colles!O$2:O$97=$B45),(Colles!$B$2:$B$97)),"")</f>
        <v>14</v>
      </c>
      <c r="T45" s="34"/>
      <c r="U45" s="34" t="str">
        <f>if(sumproduct((Colles!$A$2:$A$97=$A45),(Colles!Q$2:Q$97=$B45),(Colles!$B$2:$B$97))&gt;0,sumproduct((Colles!$A$2:$A$97=$A45),(Colles!Q$2:Q$97=$B45),(Colles!$B$2:$B$97)),"")</f>
        <v/>
      </c>
      <c r="V45" s="32">
        <f>if(sumproduct((Colles!$A$2:$A$97=$A45),(Colles!R$2:R$97=$B45),(Colles!$B$2:$B$97))&gt;0,sumproduct((Colles!$A$2:$A$97=$A45),(Colles!R$2:R$97=$B45),(Colles!$B$2:$B$97)),"")</f>
        <v>9</v>
      </c>
      <c r="W45" s="103">
        <f>if(sumproduct((Colles!$A$2:$A$97=$A45),(Colles!S$2:S$97=$B45),(Colles!$B$2:$B$97))&gt;0,sumproduct((Colles!$A$2:$A$97=$A45),(Colles!S$2:S$97=$B45),(Colles!$B$2:$B$97)),"")</f>
        <v>16</v>
      </c>
      <c r="Y45" s="1">
        <f t="shared" si="21"/>
        <v>9</v>
      </c>
      <c r="Z45" s="1"/>
      <c r="AA45" s="1">
        <f t="shared" si="22"/>
        <v>10</v>
      </c>
      <c r="AB45" s="1"/>
    </row>
    <row r="46">
      <c r="A46" s="5" t="str">
        <f>'Créneaux'!E22</f>
        <v>Physique</v>
      </c>
      <c r="B46" s="30">
        <f>'Créneaux'!F22</f>
        <v>5</v>
      </c>
      <c r="C46" s="101" t="str">
        <f>'Créneaux'!G22</f>
        <v>M. Becquet</v>
      </c>
      <c r="D46" s="32" t="str">
        <f>switch('Créneaux'!H22,0,"Lundi",1,"Mardi",2,"Mercredi",3,"Jeudi",4,"Vendredi")</f>
        <v>Jeudi</v>
      </c>
      <c r="E46" s="32" t="str">
        <f>'Créneaux'!I22&amp;"h"</f>
        <v>16h</v>
      </c>
      <c r="F46" s="32" t="str">
        <f>'Créneaux'!J22</f>
        <v>Prépa 23</v>
      </c>
      <c r="G46" s="34" t="str">
        <f>if(sumproduct((Colles!$A$2:$A$97=$A46),(Colles!C$2:C$97=$B46),(Colles!$B$2:$B$97))&gt;0,sumproduct((Colles!$A$2:$A$97=$A46),(Colles!C$2:C$97=$B46),(Colles!$B$2:$B$97)),"")</f>
        <v/>
      </c>
      <c r="H46" s="103">
        <f>if(sumproduct((Colles!$A$2:$A$97=$A46),(Colles!D$2:D$97=$B46),(Colles!$B$2:$B$97))&gt;0,sumproduct((Colles!$A$2:$A$97=$A46),(Colles!D$2:D$97=$B46),(Colles!$B$2:$B$97)),"")</f>
        <v>14</v>
      </c>
      <c r="I46" s="32">
        <f>if(sumproduct((Colles!$A$2:$A$97=$A46),(Colles!E$2:E$97=$B46),(Colles!$B$2:$B$97))&gt;0,sumproduct((Colles!$A$2:$A$97=$A46),(Colles!E$2:E$97=$B46),(Colles!$B$2:$B$97)),"")</f>
        <v>13</v>
      </c>
      <c r="J46" s="103">
        <f>if(sumproduct((Colles!$A$2:$A$97=$A46),(Colles!F$2:F$97=$B46),(Colles!$B$2:$B$97))&gt;0,sumproduct((Colles!$A$2:$A$97=$A46),(Colles!F$2:F$97=$B46),(Colles!$B$2:$B$97)),"")</f>
        <v>12</v>
      </c>
      <c r="K46" s="32">
        <f>if(sumproduct((Colles!$A$2:$A$97=$A46),(Colles!G$2:G$97=$B46),(Colles!$B$2:$B$97))&gt;0,sumproduct((Colles!$A$2:$A$97=$A46),(Colles!G$2:G$97=$B46),(Colles!$B$2:$B$97)),"")</f>
        <v>11</v>
      </c>
      <c r="L46" s="34"/>
      <c r="M46" s="103">
        <f>if(sumproduct((Colles!$A$2:$A$97=$A46),(Colles!I$2:I$97=$B46),(Colles!$B$2:$B$97))&gt;0,sumproduct((Colles!$A$2:$A$97=$A46),(Colles!I$2:I$97=$B46),(Colles!$B$2:$B$97)),"")</f>
        <v>6</v>
      </c>
      <c r="N46" s="32">
        <f>if(sumproduct((Colles!$A$2:$A$97=$A46),(Colles!J$2:J$97=$B46),(Colles!$B$2:$B$97))&gt;0,sumproduct((Colles!$A$2:$A$97=$A46),(Colles!J$2:J$97=$B46),(Colles!$B$2:$B$97)),"")</f>
        <v>5</v>
      </c>
      <c r="O46" s="103">
        <f>if(sumproduct((Colles!$A$2:$A$97=$A46),(Colles!K$2:K$97=$B46),(Colles!$B$2:$B$97))&gt;0,sumproduct((Colles!$A$2:$A$97=$A46),(Colles!K$2:K$97=$B46),(Colles!$B$2:$B$97)),"")</f>
        <v>10</v>
      </c>
      <c r="P46" s="32">
        <f>if(sumproduct((Colles!$A$2:$A$97=$A46),(Colles!L$2:L$97=$B46),(Colles!$B$2:$B$97))&gt;0,sumproduct((Colles!$A$2:$A$97=$A46),(Colles!L$2:L$97=$B46),(Colles!$B$2:$B$97)),"")</f>
        <v>3</v>
      </c>
      <c r="Q46" s="103">
        <f>if(sumproduct((Colles!$A$2:$A$97=$A46),(Colles!M$2:M$97=$B46),(Colles!$B$2:$B$97))&gt;0,sumproduct((Colles!$A$2:$A$97=$A46),(Colles!M$2:M$97=$B46),(Colles!$B$2:$B$97)),"")</f>
        <v>16</v>
      </c>
      <c r="R46" s="32">
        <f>if(sumproduct((Colles!$A$2:$A$97=$A46),(Colles!N$2:N$97=$B46),(Colles!$B$2:$B$97))&gt;0,sumproduct((Colles!$A$2:$A$97=$A46),(Colles!N$2:N$97=$B46),(Colles!$B$2:$B$97)),"")</f>
        <v>1</v>
      </c>
      <c r="S46" s="103">
        <f>if(sumproduct((Colles!$A$2:$A$97=$A46),(Colles!O$2:O$97=$B46),(Colles!$B$2:$B$97))&gt;0,sumproduct((Colles!$A$2:$A$97=$A46),(Colles!O$2:O$97=$B46),(Colles!$B$2:$B$97)),"")</f>
        <v>12</v>
      </c>
      <c r="T46" s="34"/>
      <c r="U46" s="34" t="str">
        <f>if(sumproduct((Colles!$A$2:$A$97=$A46),(Colles!Q$2:Q$97=$B46),(Colles!$B$2:$B$97))&gt;0,sumproduct((Colles!$A$2:$A$97=$A46),(Colles!Q$2:Q$97=$B46),(Colles!$B$2:$B$97)),"")</f>
        <v/>
      </c>
      <c r="V46" s="32">
        <f>if(sumproduct((Colles!$A$2:$A$97=$A46),(Colles!R$2:R$97=$B46),(Colles!$B$2:$B$97))&gt;0,sumproduct((Colles!$A$2:$A$97=$A46),(Colles!R$2:R$97=$B46),(Colles!$B$2:$B$97)),"")</f>
        <v>3</v>
      </c>
      <c r="W46" s="103">
        <f>if(sumproduct((Colles!$A$2:$A$97=$A46),(Colles!S$2:S$97=$B46),(Colles!$B$2:$B$97))&gt;0,sumproduct((Colles!$A$2:$A$97=$A46),(Colles!S$2:S$97=$B46),(Colles!$B$2:$B$97)),"")</f>
        <v>2</v>
      </c>
      <c r="Y46" s="1">
        <f>AA41+1</f>
        <v>11</v>
      </c>
      <c r="Z46" s="111" t="str">
        <f>Y46&amp;IF(SUMPRODUCT('Trinômes'!$A$2:$A$48=Z47,'Trinômes'!$D$2:$D$48&lt;&gt;0)+SUMPRODUCT('Trinômes'!$A$2:$A$48=Z48,'Trinômes'!$D$2:$D$48&lt;&gt;0)+SUMPRODUCT('Trinômes'!$A$2:$A$48=Z49,'Trinômes'!$D$2:$D$48&lt;&gt;0)&gt;0," – LV2","")</f>
        <v>11</v>
      </c>
      <c r="AA46" s="112">
        <f>Y46+1</f>
        <v>12</v>
      </c>
      <c r="AB46" s="113" t="str">
        <f>AA46&amp;IF(SUMPRODUCT('Trinômes'!$A$2:$A$48=AB47,'Trinômes'!$D$2:$D$48&lt;&gt;0)+SUMPRODUCT('Trinômes'!$A$2:$A$48=AB48,'Trinômes'!$D$2:$D$48&lt;&gt;0)+SUMPRODUCT('Trinômes'!$A$2:$A$48=AB49,'Trinômes'!$D$2:$D$48&lt;&gt;0)&gt;0," – LV2","")</f>
        <v>12</v>
      </c>
    </row>
    <row r="47">
      <c r="A47" s="5" t="str">
        <f>'Créneaux'!E23</f>
        <v>Physique</v>
      </c>
      <c r="B47" s="30">
        <f>'Créneaux'!F23</f>
        <v>6</v>
      </c>
      <c r="C47" s="101" t="str">
        <f>'Créneaux'!G23</f>
        <v>Mme Wallisky</v>
      </c>
      <c r="D47" s="32" t="str">
        <f>switch('Créneaux'!H23,0,"Lundi",1,"Mardi",2,"Mercredi",3,"Jeudi",4,"Vendredi")</f>
        <v>Jeudi</v>
      </c>
      <c r="E47" s="32" t="str">
        <f>'Créneaux'!I23&amp;"h"</f>
        <v>15h</v>
      </c>
      <c r="F47" s="32" t="str">
        <f>'Créneaux'!J23</f>
        <v>K22</v>
      </c>
      <c r="G47" s="34" t="str">
        <f>if(sumproduct((Colles!$A$2:$A$97=$A47),(Colles!C$2:C$97=$B47),(Colles!$B$2:$B$97))&gt;0,sumproduct((Colles!$A$2:$A$97=$A47),(Colles!C$2:C$97=$B47),(Colles!$B$2:$B$97)),"")</f>
        <v/>
      </c>
      <c r="H47" s="103">
        <f>if(sumproduct((Colles!$A$2:$A$97=$A47),(Colles!D$2:D$97=$B47),(Colles!$B$2:$B$97))&gt;0,sumproduct((Colles!$A$2:$A$97=$A47),(Colles!D$2:D$97=$B47),(Colles!$B$2:$B$97)),"")</f>
        <v>10</v>
      </c>
      <c r="I47" s="32">
        <f>if(sumproduct((Colles!$A$2:$A$97=$A47),(Colles!E$2:E$97=$B47),(Colles!$B$2:$B$97))&gt;0,sumproduct((Colles!$A$2:$A$97=$A47),(Colles!E$2:E$97=$B47),(Colles!$B$2:$B$97)),"")</f>
        <v>11</v>
      </c>
      <c r="J47" s="103">
        <f>if(sumproduct((Colles!$A$2:$A$97=$A47),(Colles!F$2:F$97=$B47),(Colles!$B$2:$B$97))&gt;0,sumproduct((Colles!$A$2:$A$97=$A47),(Colles!F$2:F$97=$B47),(Colles!$B$2:$B$97)),"")</f>
        <v>14</v>
      </c>
      <c r="K47" s="32">
        <f>if(sumproduct((Colles!$A$2:$A$97=$A47),(Colles!G$2:G$97=$B47),(Colles!$B$2:$B$97))&gt;0,sumproduct((Colles!$A$2:$A$97=$A47),(Colles!G$2:G$97=$B47),(Colles!$B$2:$B$97)),"")</f>
        <v>13</v>
      </c>
      <c r="L47" s="34"/>
      <c r="M47" s="103">
        <f>if(sumproduct((Colles!$A$2:$A$97=$A47),(Colles!I$2:I$97=$B47),(Colles!$B$2:$B$97))&gt;0,sumproduct((Colles!$A$2:$A$97=$A47),(Colles!I$2:I$97=$B47),(Colles!$B$2:$B$97)),"")</f>
        <v>12</v>
      </c>
      <c r="N47" s="32">
        <f>if(sumproduct((Colles!$A$2:$A$97=$A47),(Colles!J$2:J$97=$B47),(Colles!$B$2:$B$97))&gt;0,sumproduct((Colles!$A$2:$A$97=$A47),(Colles!J$2:J$97=$B47),(Colles!$B$2:$B$97)),"")</f>
        <v>7</v>
      </c>
      <c r="O47" s="103">
        <f>if(sumproduct((Colles!$A$2:$A$97=$A47),(Colles!K$2:K$97=$B47),(Colles!$B$2:$B$97))&gt;0,sumproduct((Colles!$A$2:$A$97=$A47),(Colles!K$2:K$97=$B47),(Colles!$B$2:$B$97)),"")</f>
        <v>2</v>
      </c>
      <c r="P47" s="32">
        <f>if(sumproduct((Colles!$A$2:$A$97=$A47),(Colles!L$2:L$97=$B47),(Colles!$B$2:$B$97))&gt;0,sumproduct((Colles!$A$2:$A$97=$A47),(Colles!L$2:L$97=$B47),(Colles!$B$2:$B$97)),"")</f>
        <v>15</v>
      </c>
      <c r="Q47" s="103">
        <f>if(sumproduct((Colles!$A$2:$A$97=$A47),(Colles!M$2:M$97=$B47),(Colles!$B$2:$B$97))&gt;0,sumproduct((Colles!$A$2:$A$97=$A47),(Colles!M$2:M$97=$B47),(Colles!$B$2:$B$97)),"")</f>
        <v>10</v>
      </c>
      <c r="R47" s="32">
        <f>if(sumproduct((Colles!$A$2:$A$97=$A47),(Colles!N$2:N$97=$B47),(Colles!$B$2:$B$97))&gt;0,sumproduct((Colles!$A$2:$A$97=$A47),(Colles!N$2:N$97=$B47),(Colles!$B$2:$B$97)),"")</f>
        <v>9</v>
      </c>
      <c r="S47" s="103">
        <f>if(sumproduct((Colles!$A$2:$A$97=$A47),(Colles!O$2:O$97=$B47),(Colles!$B$2:$B$97))&gt;0,sumproduct((Colles!$A$2:$A$97=$A47),(Colles!O$2:O$97=$B47),(Colles!$B$2:$B$97)),"")</f>
        <v>6</v>
      </c>
      <c r="T47" s="34"/>
      <c r="U47" s="34" t="str">
        <f>if(sumproduct((Colles!$A$2:$A$97=$A47),(Colles!Q$2:Q$97=$B47),(Colles!$B$2:$B$97))&gt;0,sumproduct((Colles!$A$2:$A$97=$A47),(Colles!Q$2:Q$97=$B47),(Colles!$B$2:$B$97)),"")</f>
        <v/>
      </c>
      <c r="V47" s="32">
        <f>if(sumproduct((Colles!$A$2:$A$97=$A47),(Colles!R$2:R$97=$B47),(Colles!$B$2:$B$97))&gt;0,sumproduct((Colles!$A$2:$A$97=$A47),(Colles!R$2:R$97=$B47),(Colles!$B$2:$B$97)),"")</f>
        <v>11</v>
      </c>
      <c r="W47" s="103">
        <f>if(sumproduct((Colles!$A$2:$A$97=$A47),(Colles!S$2:S$97=$B47),(Colles!$B$2:$B$97))&gt;0,sumproduct((Colles!$A$2:$A$97=$A47),(Colles!S$2:S$97=$B47),(Colles!$B$2:$B$97)),"")</f>
        <v>4</v>
      </c>
      <c r="Y47" s="1">
        <f t="shared" ref="Y47:Y50" si="23">Y46</f>
        <v>11</v>
      </c>
      <c r="Z47" s="114" t="str">
        <f t="array" ref="Z47">IF(ISERROR(ADDRESS(SUMPRODUCT('Trinômes'!$B$2:$B$48=Y47,'Trinômes'!$C$2:$C$48=COUNTIF(Y$21:Y47,"="&amp;Y47)-1
,ROW('Trinômes'!$A$2:$A$48)),COLUMN('Trinômes'!$A$1)-COLUMN('Trinômes'!$A$1)+1)),"",indirect("Trinômes!"&amp;ADDRESS(SUMPRODUCT('Trinômes'!$B$2:$B$48=Y47,'Trinômes'!$C$2:$C$48=COUNTIF(Y$21:Y47,"="&amp;Y47)-1
,ROW('Trinômes'!$A$2:$A$48)),COLUMN('Trinômes'!$A$1)-COLUMN('Trinômes'!$A$1)+1)))</f>
        <v>MONCHAL Lou</v>
      </c>
      <c r="AA47" s="1">
        <f t="shared" ref="AA47:AA50" si="24">AA46</f>
        <v>12</v>
      </c>
      <c r="AB47" s="114" t="str">
        <f t="array" ref="AB47">IF(ISERROR(ADDRESS(SUMPRODUCT('Trinômes'!$B$2:$B$48=AA47,'Trinômes'!$C$2:$C$48=COUNTIF(AA$21:AA47,"="&amp;AA47)-1
,ROW('Trinômes'!$A$2:$A$48)),COLUMN('Trinômes'!$A$1)-COLUMN('Trinômes'!$A$1)+1)),"",indirect("Trinômes!"&amp;ADDRESS(SUMPRODUCT('Trinômes'!$B$2:$B$48=AA47,'Trinômes'!$C$2:$C$48=COUNTIF(AA$21:AA47,"="&amp;AA47)-1
,ROW('Trinômes'!$A$2:$A$48)),COLUMN('Trinômes'!$A$1)-COLUMN('Trinômes'!$A$1)+1)))</f>
        <v>POURCHIER Manon</v>
      </c>
    </row>
    <row r="48">
      <c r="A48" s="5" t="str">
        <f>'Créneaux'!E24</f>
        <v>Physique</v>
      </c>
      <c r="B48" s="30">
        <f>'Créneaux'!F24</f>
        <v>7</v>
      </c>
      <c r="C48" s="101" t="str">
        <f>'Créneaux'!G24</f>
        <v>Mme Wallisky</v>
      </c>
      <c r="D48" s="32" t="str">
        <f>switch('Créneaux'!H24,0,"Lundi",1,"Mardi",2,"Mercredi",3,"Jeudi",4,"Vendredi")</f>
        <v>Jeudi</v>
      </c>
      <c r="E48" s="32" t="str">
        <f>'Créneaux'!I24&amp;"h"</f>
        <v>16h</v>
      </c>
      <c r="F48" s="32" t="str">
        <f>'Créneaux'!J24</f>
        <v>K22</v>
      </c>
      <c r="G48" s="34" t="str">
        <f>if(sumproduct((Colles!$A$2:$A$97=$A48),(Colles!C$2:C$97=$B48),(Colles!$B$2:$B$97))&gt;0,sumproduct((Colles!$A$2:$A$97=$A48),(Colles!C$2:C$97=$B48),(Colles!$B$2:$B$97)),"")</f>
        <v/>
      </c>
      <c r="H48" s="103">
        <f>if(sumproduct((Colles!$A$2:$A$97=$A48),(Colles!D$2:D$97=$B48),(Colles!$B$2:$B$97))&gt;0,sumproduct((Colles!$A$2:$A$97=$A48),(Colles!D$2:D$97=$B48),(Colles!$B$2:$B$97)),"")</f>
        <v>8</v>
      </c>
      <c r="I48" s="32">
        <f>if(sumproduct((Colles!$A$2:$A$97=$A48),(Colles!E$2:E$97=$B48),(Colles!$B$2:$B$97))&gt;0,sumproduct((Colles!$A$2:$A$97=$A48),(Colles!E$2:E$97=$B48),(Colles!$B$2:$B$97)),"")</f>
        <v>9</v>
      </c>
      <c r="J48" s="103">
        <f>if(sumproduct((Colles!$A$2:$A$97=$A48),(Colles!F$2:F$97=$B48),(Colles!$B$2:$B$97))&gt;0,sumproduct((Colles!$A$2:$A$97=$A48),(Colles!F$2:F$97=$B48),(Colles!$B$2:$B$97)),"")</f>
        <v>2</v>
      </c>
      <c r="K48" s="32">
        <f>if(sumproduct((Colles!$A$2:$A$97=$A48),(Colles!G$2:G$97=$B48),(Colles!$B$2:$B$97))&gt;0,sumproduct((Colles!$A$2:$A$97=$A48),(Colles!G$2:G$97=$B48),(Colles!$B$2:$B$97)),"")</f>
        <v>3</v>
      </c>
      <c r="L48" s="34"/>
      <c r="M48" s="103">
        <f>if(sumproduct((Colles!$A$2:$A$97=$A48),(Colles!I$2:I$97=$B48),(Colles!$B$2:$B$97))&gt;0,sumproduct((Colles!$A$2:$A$97=$A48),(Colles!I$2:I$97=$B48),(Colles!$B$2:$B$97)),"")</f>
        <v>16</v>
      </c>
      <c r="N48" s="32">
        <f>if(sumproduct((Colles!$A$2:$A$97=$A48),(Colles!J$2:J$97=$B48),(Colles!$B$2:$B$97))&gt;0,sumproduct((Colles!$A$2:$A$97=$A48),(Colles!J$2:J$97=$B48),(Colles!$B$2:$B$97)),"")</f>
        <v>9</v>
      </c>
      <c r="O48" s="103">
        <f>if(sumproduct((Colles!$A$2:$A$97=$A48),(Colles!K$2:K$97=$B48),(Colles!$B$2:$B$97))&gt;0,sumproduct((Colles!$A$2:$A$97=$A48),(Colles!K$2:K$97=$B48),(Colles!$B$2:$B$97)),"")</f>
        <v>4</v>
      </c>
      <c r="P48" s="32">
        <f>if(sumproduct((Colles!$A$2:$A$97=$A48),(Colles!L$2:L$97=$B48),(Colles!$B$2:$B$97))&gt;0,sumproduct((Colles!$A$2:$A$97=$A48),(Colles!L$2:L$97=$B48),(Colles!$B$2:$B$97)),"")</f>
        <v>5</v>
      </c>
      <c r="Q48" s="103">
        <f>if(sumproduct((Colles!$A$2:$A$97=$A48),(Colles!M$2:M$97=$B48),(Colles!$B$2:$B$97))&gt;0,sumproduct((Colles!$A$2:$A$97=$A48),(Colles!M$2:M$97=$B48),(Colles!$B$2:$B$97)),"")</f>
        <v>14</v>
      </c>
      <c r="R48" s="32">
        <f>if(sumproduct((Colles!$A$2:$A$97=$A48),(Colles!N$2:N$97=$B48),(Colles!$B$2:$B$97))&gt;0,sumproduct((Colles!$A$2:$A$97=$A48),(Colles!N$2:N$97=$B48),(Colles!$B$2:$B$97)),"")</f>
        <v>15</v>
      </c>
      <c r="S48" s="103">
        <f>if(sumproduct((Colles!$A$2:$A$97=$A48),(Colles!O$2:O$97=$B48),(Colles!$B$2:$B$97))&gt;0,sumproduct((Colles!$A$2:$A$97=$A48),(Colles!O$2:O$97=$B48),(Colles!$B$2:$B$97)),"")</f>
        <v>8</v>
      </c>
      <c r="T48" s="34"/>
      <c r="U48" s="34" t="str">
        <f>if(sumproduct((Colles!$A$2:$A$97=$A48),(Colles!Q$2:Q$97=$B48),(Colles!$B$2:$B$97))&gt;0,sumproduct((Colles!$A$2:$A$97=$A48),(Colles!Q$2:Q$97=$B48),(Colles!$B$2:$B$97)),"")</f>
        <v/>
      </c>
      <c r="V48" s="32">
        <f>if(sumproduct((Colles!$A$2:$A$97=$A48),(Colles!R$2:R$97=$B48),(Colles!$B$2:$B$97))&gt;0,sumproduct((Colles!$A$2:$A$97=$A48),(Colles!R$2:R$97=$B48),(Colles!$B$2:$B$97)),"")</f>
        <v>13</v>
      </c>
      <c r="W48" s="103">
        <f>if(sumproduct((Colles!$A$2:$A$97=$A48),(Colles!S$2:S$97=$B48),(Colles!$B$2:$B$97))&gt;0,sumproduct((Colles!$A$2:$A$97=$A48),(Colles!S$2:S$97=$B48),(Colles!$B$2:$B$97)),"")</f>
        <v>12</v>
      </c>
      <c r="Y48" s="1">
        <f t="shared" si="23"/>
        <v>11</v>
      </c>
      <c r="Z48" s="114" t="str">
        <f t="array" ref="Z48">IF(ISERROR(ADDRESS(SUMPRODUCT('Trinômes'!$B$2:$B$48=Y48,'Trinômes'!$C$2:$C$48=COUNTIF(Y$21:Y48,"="&amp;Y48)-1
,ROW('Trinômes'!$A$2:$A$48)),COLUMN('Trinômes'!$A$1)-COLUMN('Trinômes'!$A$1)+1)),"",indirect("Trinômes!"&amp;ADDRESS(SUMPRODUCT('Trinômes'!$B$2:$B$48=Y48,'Trinômes'!$C$2:$C$48=COUNTIF(Y$21:Y48,"="&amp;Y48)-1
,ROW('Trinômes'!$A$2:$A$48)),COLUMN('Trinômes'!$A$1)-COLUMN('Trinômes'!$A$1)+1)))</f>
        <v>PERRIN Ornella</v>
      </c>
      <c r="AA48" s="1">
        <f t="shared" si="24"/>
        <v>12</v>
      </c>
      <c r="AB48" s="114" t="str">
        <f t="array" ref="AB48">IF(ISERROR(ADDRESS(SUMPRODUCT('Trinômes'!$B$2:$B$48=AA48,'Trinômes'!$C$2:$C$48=COUNTIF(AA$21:AA48,"="&amp;AA48)-1
,ROW('Trinômes'!$A$2:$A$48)),COLUMN('Trinômes'!$A$1)-COLUMN('Trinômes'!$A$1)+1)),"",indirect("Trinômes!"&amp;ADDRESS(SUMPRODUCT('Trinômes'!$B$2:$B$48=AA48,'Trinômes'!$C$2:$C$48=COUNTIF(AA$21:AA48,"="&amp;AA48)-1
,ROW('Trinômes'!$A$2:$A$48)),COLUMN('Trinômes'!$A$1)-COLUMN('Trinômes'!$A$1)+1)))</f>
        <v>RAITORE Maya</v>
      </c>
    </row>
    <row r="49">
      <c r="A49" s="5" t="str">
        <f>'Créneaux'!E25</f>
        <v>Physique</v>
      </c>
      <c r="B49" s="30">
        <f>'Créneaux'!F25</f>
        <v>8</v>
      </c>
      <c r="C49" s="101" t="str">
        <f>'Créneaux'!G25</f>
        <v>M. Ackermann</v>
      </c>
      <c r="D49" s="32" t="str">
        <f>switch('Créneaux'!H25,0,"Lundi",1,"Mardi",2,"Mercredi",3,"Jeudi",4,"Vendredi")</f>
        <v>Mercredi</v>
      </c>
      <c r="E49" s="32" t="str">
        <f>'Créneaux'!I25&amp;"h"</f>
        <v>16h</v>
      </c>
      <c r="F49" s="32" t="str">
        <f>'Créneaux'!J25</f>
        <v>K25</v>
      </c>
      <c r="G49" s="34" t="str">
        <f>if(sumproduct((Colles!$A$2:$A$97=$A49),(Colles!C$2:C$97=$B49),(Colles!$B$2:$B$97))&gt;0,sumproduct((Colles!$A$2:$A$97=$A49),(Colles!C$2:C$97=$B49),(Colles!$B$2:$B$97)),"")</f>
        <v/>
      </c>
      <c r="H49" s="103">
        <f>if(sumproduct((Colles!$A$2:$A$97=$A49),(Colles!D$2:D$97=$B49),(Colles!$B$2:$B$97))&gt;0,sumproduct((Colles!$A$2:$A$97=$A49),(Colles!D$2:D$97=$B49),(Colles!$B$2:$B$97)),"")</f>
        <v>6</v>
      </c>
      <c r="I49" s="32">
        <f>if(sumproduct((Colles!$A$2:$A$97=$A49),(Colles!E$2:E$97=$B49),(Colles!$B$2:$B$97))&gt;0,sumproduct((Colles!$A$2:$A$97=$A49),(Colles!E$2:E$97=$B49),(Colles!$B$2:$B$97)),"")</f>
        <v>7</v>
      </c>
      <c r="J49" s="103">
        <f>if(sumproduct((Colles!$A$2:$A$97=$A49),(Colles!F$2:F$97=$B49),(Colles!$B$2:$B$97))&gt;0,sumproduct((Colles!$A$2:$A$97=$A49),(Colles!F$2:F$97=$B49),(Colles!$B$2:$B$97)),"")</f>
        <v>16</v>
      </c>
      <c r="K49" s="32">
        <f>if(sumproduct((Colles!$A$2:$A$97=$A49),(Colles!G$2:G$97=$B49),(Colles!$B$2:$B$97))&gt;0,sumproduct((Colles!$A$2:$A$97=$A49),(Colles!G$2:G$97=$B49),(Colles!$B$2:$B$97)),"")</f>
        <v>1</v>
      </c>
      <c r="L49" s="34"/>
      <c r="M49" s="103">
        <f>if(sumproduct((Colles!$A$2:$A$97=$A49),(Colles!I$2:I$97=$B49),(Colles!$B$2:$B$97))&gt;0,sumproduct((Colles!$A$2:$A$97=$A49),(Colles!I$2:I$97=$B49),(Colles!$B$2:$B$97)),"")</f>
        <v>8</v>
      </c>
      <c r="N49" s="32">
        <f>if(sumproduct((Colles!$A$2:$A$97=$A49),(Colles!J$2:J$97=$B49),(Colles!$B$2:$B$97))&gt;0,sumproduct((Colles!$A$2:$A$97=$A49),(Colles!J$2:J$97=$B49),(Colles!$B$2:$B$97)),"")</f>
        <v>15</v>
      </c>
      <c r="O49" s="103">
        <f>if(sumproduct((Colles!$A$2:$A$97=$A49),(Colles!K$2:K$97=$B49),(Colles!$B$2:$B$97))&gt;0,sumproduct((Colles!$A$2:$A$97=$A49),(Colles!K$2:K$97=$B49),(Colles!$B$2:$B$97)),"")</f>
        <v>12</v>
      </c>
      <c r="P49" s="32">
        <f>if(sumproduct((Colles!$A$2:$A$97=$A49),(Colles!L$2:L$97=$B49),(Colles!$B$2:$B$97))&gt;0,sumproduct((Colles!$A$2:$A$97=$A49),(Colles!L$2:L$97=$B49),(Colles!$B$2:$B$97)),"")</f>
        <v>9</v>
      </c>
      <c r="Q49" s="103">
        <f>if(sumproduct((Colles!$A$2:$A$97=$A49),(Colles!M$2:M$97=$B49),(Colles!$B$2:$B$97))&gt;0,sumproduct((Colles!$A$2:$A$97=$A49),(Colles!M$2:M$97=$B49),(Colles!$B$2:$B$97)),"")</f>
        <v>8</v>
      </c>
      <c r="R49" s="32">
        <f>if(sumproduct((Colles!$A$2:$A$97=$A49),(Colles!N$2:N$97=$B49),(Colles!$B$2:$B$97))&gt;0,sumproduct((Colles!$A$2:$A$97=$A49),(Colles!N$2:N$97=$B49),(Colles!$B$2:$B$97)),"")</f>
        <v>7</v>
      </c>
      <c r="S49" s="103">
        <f>if(sumproduct((Colles!$A$2:$A$97=$A49),(Colles!O$2:O$97=$B49),(Colles!$B$2:$B$97))&gt;0,sumproduct((Colles!$A$2:$A$97=$A49),(Colles!O$2:O$97=$B49),(Colles!$B$2:$B$97)),"")</f>
        <v>2</v>
      </c>
      <c r="T49" s="34"/>
      <c r="U49" s="34" t="str">
        <f>if(sumproduct((Colles!$A$2:$A$97=$A49),(Colles!Q$2:Q$97=$B49),(Colles!$B$2:$B$97))&gt;0,sumproduct((Colles!$A$2:$A$97=$A49),(Colles!Q$2:Q$97=$B49),(Colles!$B$2:$B$97)),"")</f>
        <v/>
      </c>
      <c r="V49" s="32">
        <f>if(sumproduct((Colles!$A$2:$A$97=$A49),(Colles!R$2:R$97=$B49),(Colles!$B$2:$B$97))&gt;0,sumproduct((Colles!$A$2:$A$97=$A49),(Colles!R$2:R$97=$B49),(Colles!$B$2:$B$97)),"")</f>
        <v>1</v>
      </c>
      <c r="W49" s="103">
        <f>if(sumproduct((Colles!$A$2:$A$97=$A49),(Colles!S$2:S$97=$B49),(Colles!$B$2:$B$97))&gt;0,sumproduct((Colles!$A$2:$A$97=$A49),(Colles!S$2:S$97=$B49),(Colles!$B$2:$B$97)),"")</f>
        <v>10</v>
      </c>
      <c r="Y49" s="1">
        <f t="shared" si="23"/>
        <v>11</v>
      </c>
      <c r="Z49" s="114" t="str">
        <f t="array" ref="Z49">IF(ISERROR(ADDRESS(SUMPRODUCT('Trinômes'!$B$2:$B$48=Y49,'Trinômes'!$C$2:$C$48=COUNTIF(Y$21:Y49,"="&amp;Y49)-1
,ROW('Trinômes'!$A$2:$A$48)),COLUMN('Trinômes'!$A$1)-COLUMN('Trinômes'!$A$1)+1)),"",indirect("Trinômes!"&amp;ADDRESS(SUMPRODUCT('Trinômes'!$B$2:$B$48=Y49,'Trinômes'!$C$2:$C$48=COUNTIF(Y$21:Y49,"="&amp;Y49)-1
,ROW('Trinômes'!$A$2:$A$48)),COLUMN('Trinômes'!$A$1)-COLUMN('Trinômes'!$A$1)+1)))</f>
        <v>PHILIPPOT Ilian</v>
      </c>
      <c r="AA49" s="1">
        <f t="shared" si="24"/>
        <v>12</v>
      </c>
      <c r="AB49" s="114" t="str">
        <f t="array" ref="AB49">IF(ISERROR(ADDRESS(SUMPRODUCT('Trinômes'!$B$2:$B$48=AA49,'Trinômes'!$C$2:$C$48=COUNTIF(AA$21:AA49,"="&amp;AA49)-1
,ROW('Trinômes'!$A$2:$A$48)),COLUMN('Trinômes'!$A$1)-COLUMN('Trinômes'!$A$1)+1)),"",indirect("Trinômes!"&amp;ADDRESS(SUMPRODUCT('Trinômes'!$B$2:$B$48=AA49,'Trinômes'!$C$2:$C$48=COUNTIF(AA$21:AA49,"="&amp;AA49)-1
,ROW('Trinômes'!$A$2:$A$48)),COLUMN('Trinômes'!$A$1)-COLUMN('Trinômes'!$A$1)+1)))</f>
        <v>RAKOTOARIVELO Yann</v>
      </c>
    </row>
    <row r="50">
      <c r="A50" s="5"/>
      <c r="C50" s="121" t="str">
        <f>A51</f>
        <v>Chimie</v>
      </c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Y50" s="1">
        <f t="shared" si="23"/>
        <v>11</v>
      </c>
      <c r="Z50" s="1"/>
      <c r="AA50" s="1">
        <f t="shared" si="24"/>
        <v>12</v>
      </c>
      <c r="AB50" s="1"/>
    </row>
    <row r="51">
      <c r="A51" s="5" t="str">
        <f>'Créneaux'!E26</f>
        <v>Chimie</v>
      </c>
      <c r="B51" s="30">
        <f>'Créneaux'!F26</f>
        <v>1</v>
      </c>
      <c r="C51" s="101" t="str">
        <f>'Créneaux'!G26</f>
        <v>M. Hansen</v>
      </c>
      <c r="D51" s="32" t="str">
        <f>switch('Créneaux'!H26,0,"Lundi",1,"Mardi",2,"Mercredi",3,"Jeudi",4,"Vendredi")</f>
        <v>Mardi</v>
      </c>
      <c r="E51" s="32" t="str">
        <f>'Créneaux'!I26&amp;"h"</f>
        <v>17h</v>
      </c>
      <c r="F51" s="32" t="str">
        <f>'Créneaux'!J26</f>
        <v>Prépa 22</v>
      </c>
      <c r="G51" s="34" t="str">
        <f>if(sumproduct((Colles!$A$2:$A$97=$A51),(Colles!C$2:C$97=$B51),(Colles!$B$2:$B$97))&gt;0,sumproduct((Colles!$A$2:$A$97=$A51),(Colles!C$2:C$97=$B51),(Colles!$B$2:$B$97)),"")</f>
        <v/>
      </c>
      <c r="H51" s="103">
        <f>if(sumproduct((Colles!$A$2:$A$97=$A51),(Colles!D$2:D$97=$B51),(Colles!$B$2:$B$97))&gt;0,sumproduct((Colles!$A$2:$A$97=$A51),(Colles!D$2:D$97=$B51),(Colles!$B$2:$B$97)),"")</f>
        <v>16</v>
      </c>
      <c r="I51" s="32">
        <f>if(sumproduct((Colles!$A$2:$A$97=$A51),(Colles!E$2:E$97=$B51),(Colles!$B$2:$B$97))&gt;0,sumproduct((Colles!$A$2:$A$97=$A51),(Colles!E$2:E$97=$B51),(Colles!$B$2:$B$97)),"")</f>
        <v>15</v>
      </c>
      <c r="J51" s="103">
        <f>if(sumproduct((Colles!$A$2:$A$97=$A51),(Colles!F$2:F$97=$B51),(Colles!$B$2:$B$97))&gt;0,sumproduct((Colles!$A$2:$A$97=$A51),(Colles!F$2:F$97=$B51),(Colles!$B$2:$B$97)),"")</f>
        <v>10</v>
      </c>
      <c r="K51" s="32">
        <f>if(sumproduct((Colles!$A$2:$A$97=$A51),(Colles!G$2:G$97=$B51),(Colles!$B$2:$B$97))&gt;0,sumproduct((Colles!$A$2:$A$97=$A51),(Colles!G$2:G$97=$B51),(Colles!$B$2:$B$97)),"")</f>
        <v>9</v>
      </c>
      <c r="L51" s="34"/>
      <c r="M51" s="103">
        <f>if(sumproduct((Colles!$A$2:$A$97=$A51),(Colles!I$2:I$97=$B51),(Colles!$B$2:$B$97))&gt;0,sumproduct((Colles!$A$2:$A$97=$A51),(Colles!I$2:I$97=$B51),(Colles!$B$2:$B$97)),"")</f>
        <v>2</v>
      </c>
      <c r="N51" s="32">
        <f>if(sumproduct((Colles!$A$2:$A$97=$A51),(Colles!J$2:J$97=$B51),(Colles!$B$2:$B$97))&gt;0,sumproduct((Colles!$A$2:$A$97=$A51),(Colles!J$2:J$97=$B51),(Colles!$B$2:$B$97)),"")</f>
        <v>3</v>
      </c>
      <c r="O51" s="103">
        <f>if(sumproduct((Colles!$A$2:$A$97=$A51),(Colles!K$2:K$97=$B51),(Colles!$B$2:$B$97))&gt;0,sumproduct((Colles!$A$2:$A$97=$A51),(Colles!K$2:K$97=$B51),(Colles!$B$2:$B$97)),"")</f>
        <v>8</v>
      </c>
      <c r="P51" s="32">
        <f>if(sumproduct((Colles!$A$2:$A$97=$A51),(Colles!L$2:L$97=$B51),(Colles!$B$2:$B$97))&gt;0,sumproduct((Colles!$A$2:$A$97=$A51),(Colles!L$2:L$97=$B51),(Colles!$B$2:$B$97)),"")</f>
        <v>1</v>
      </c>
      <c r="Q51" s="103">
        <f>if(sumproduct((Colles!$A$2:$A$97=$A51),(Colles!M$2:M$97=$B51),(Colles!$B$2:$B$97))&gt;0,sumproduct((Colles!$A$2:$A$97=$A51),(Colles!M$2:M$97=$B51),(Colles!$B$2:$B$97)),"")</f>
        <v>4</v>
      </c>
      <c r="R51" s="32">
        <f>if(sumproduct((Colles!$A$2:$A$97=$A51),(Colles!N$2:N$97=$B51),(Colles!$B$2:$B$97))&gt;0,sumproduct((Colles!$A$2:$A$97=$A51),(Colles!N$2:N$97=$B51),(Colles!$B$2:$B$97)),"")</f>
        <v>5</v>
      </c>
      <c r="S51" s="103">
        <f>if(sumproduct((Colles!$A$2:$A$97=$A51),(Colles!O$2:O$97=$B51),(Colles!$B$2:$B$97))&gt;0,sumproduct((Colles!$A$2:$A$97=$A51),(Colles!O$2:O$97=$B51),(Colles!$B$2:$B$97)),"")</f>
        <v>10</v>
      </c>
      <c r="T51" s="34"/>
      <c r="U51" s="34" t="str">
        <f>if(sumproduct((Colles!$A$2:$A$97=$A51),(Colles!Q$2:Q$97=$B51),(Colles!$B$2:$B$97))&gt;0,sumproduct((Colles!$A$2:$A$97=$A51),(Colles!Q$2:Q$97=$B51),(Colles!$B$2:$B$97)),"")</f>
        <v/>
      </c>
      <c r="V51" s="32">
        <f>if(sumproduct((Colles!$A$2:$A$97=$A51),(Colles!R$2:R$97=$B51),(Colles!$B$2:$B$97))&gt;0,sumproduct((Colles!$A$2:$A$97=$A51),(Colles!R$2:R$97=$B51),(Colles!$B$2:$B$97)),"")</f>
        <v>7</v>
      </c>
      <c r="W51" s="103">
        <f>if(sumproduct((Colles!$A$2:$A$97=$A51),(Colles!S$2:S$97=$B51),(Colles!$B$2:$B$97))&gt;0,sumproduct((Colles!$A$2:$A$97=$A51),(Colles!S$2:S$97=$B51),(Colles!$B$2:$B$97)),"")</f>
        <v>14</v>
      </c>
      <c r="Y51" s="1">
        <f>AA46+1</f>
        <v>13</v>
      </c>
      <c r="Z51" s="111" t="str">
        <f>Y51&amp;IF(SUMPRODUCT('Trinômes'!$A$2:$A$48=Z52,'Trinômes'!$D$2:$D$48&lt;&gt;0)+SUMPRODUCT('Trinômes'!$A$2:$A$48=Z53,'Trinômes'!$D$2:$D$48&lt;&gt;0)+SUMPRODUCT('Trinômes'!$A$2:$A$48=Z54,'Trinômes'!$D$2:$D$48&lt;&gt;0)&gt;0," – LV2","")</f>
        <v>13</v>
      </c>
      <c r="AA51" s="112">
        <f>Y51+1</f>
        <v>14</v>
      </c>
      <c r="AB51" s="113" t="str">
        <f>AA51&amp;IF(SUMPRODUCT('Trinômes'!$A$2:$A$48=AB52,'Trinômes'!$D$2:$D$48&lt;&gt;0)+SUMPRODUCT('Trinômes'!$A$2:$A$48=AB53,'Trinômes'!$D$2:$D$48&lt;&gt;0)+SUMPRODUCT('Trinômes'!$A$2:$A$48=AB54,'Trinômes'!$D$2:$D$48&lt;&gt;0)&gt;0," – LV2","")</f>
        <v>14</v>
      </c>
    </row>
    <row r="52">
      <c r="A52" s="5" t="str">
        <f>'Créneaux'!E27</f>
        <v>Chimie</v>
      </c>
      <c r="B52" s="30">
        <f>'Créneaux'!F27</f>
        <v>2</v>
      </c>
      <c r="C52" s="101" t="str">
        <f>'Créneaux'!G27</f>
        <v>M. Hansen</v>
      </c>
      <c r="D52" s="32" t="str">
        <f>switch('Créneaux'!H27,0,"Lundi",1,"Mardi",2,"Mercredi",3,"Jeudi",4,"Vendredi")</f>
        <v>Mardi</v>
      </c>
      <c r="E52" s="32" t="str">
        <f>'Créneaux'!I27&amp;"h"</f>
        <v>18h</v>
      </c>
      <c r="F52" s="32" t="str">
        <f>'Créneaux'!J27</f>
        <v>Prépa 22</v>
      </c>
      <c r="G52" s="34" t="str">
        <f>if(sumproduct((Colles!$A$2:$A$97=$A52),(Colles!C$2:C$97=$B52),(Colles!$B$2:$B$97))&gt;0,sumproduct((Colles!$A$2:$A$97=$A52),(Colles!C$2:C$97=$B52),(Colles!$B$2:$B$97)),"")</f>
        <v/>
      </c>
      <c r="H52" s="103">
        <f>if(sumproduct((Colles!$A$2:$A$97=$A52),(Colles!D$2:D$97=$B52),(Colles!$B$2:$B$97))&gt;0,sumproduct((Colles!$A$2:$A$97=$A52),(Colles!D$2:D$97=$B52),(Colles!$B$2:$B$97)),"")</f>
        <v>14</v>
      </c>
      <c r="I52" s="32">
        <f>if(sumproduct((Colles!$A$2:$A$97=$A52),(Colles!E$2:E$97=$B52),(Colles!$B$2:$B$97))&gt;0,sumproduct((Colles!$A$2:$A$97=$A52),(Colles!E$2:E$97=$B52),(Colles!$B$2:$B$97)),"")</f>
        <v>13</v>
      </c>
      <c r="J52" s="103">
        <f>if(sumproduct((Colles!$A$2:$A$97=$A52),(Colles!F$2:F$97=$B52),(Colles!$B$2:$B$97))&gt;0,sumproduct((Colles!$A$2:$A$97=$A52),(Colles!F$2:F$97=$B52),(Colles!$B$2:$B$97)),"")</f>
        <v>12</v>
      </c>
      <c r="K52" s="32">
        <f>if(sumproduct((Colles!$A$2:$A$97=$A52),(Colles!G$2:G$97=$B52),(Colles!$B$2:$B$97))&gt;0,sumproduct((Colles!$A$2:$A$97=$A52),(Colles!G$2:G$97=$B52),(Colles!$B$2:$B$97)),"")</f>
        <v>11</v>
      </c>
      <c r="L52" s="34"/>
      <c r="M52" s="103">
        <f>if(sumproduct((Colles!$A$2:$A$97=$A52),(Colles!I$2:I$97=$B52),(Colles!$B$2:$B$97))&gt;0,sumproduct((Colles!$A$2:$A$97=$A52),(Colles!I$2:I$97=$B52),(Colles!$B$2:$B$97)),"")</f>
        <v>6</v>
      </c>
      <c r="N52" s="32">
        <f>if(sumproduct((Colles!$A$2:$A$97=$A52),(Colles!J$2:J$97=$B52),(Colles!$B$2:$B$97))&gt;0,sumproduct((Colles!$A$2:$A$97=$A52),(Colles!J$2:J$97=$B52),(Colles!$B$2:$B$97)),"")</f>
        <v>5</v>
      </c>
      <c r="O52" s="103">
        <f>if(sumproduct((Colles!$A$2:$A$97=$A52),(Colles!K$2:K$97=$B52),(Colles!$B$2:$B$97))&gt;0,sumproduct((Colles!$A$2:$A$97=$A52),(Colles!K$2:K$97=$B52),(Colles!$B$2:$B$97)),"")</f>
        <v>10</v>
      </c>
      <c r="P52" s="32">
        <f>if(sumproduct((Colles!$A$2:$A$97=$A52),(Colles!L$2:L$97=$B52),(Colles!$B$2:$B$97))&gt;0,sumproduct((Colles!$A$2:$A$97=$A52),(Colles!L$2:L$97=$B52),(Colles!$B$2:$B$97)),"")</f>
        <v>3</v>
      </c>
      <c r="Q52" s="103">
        <f>if(sumproduct((Colles!$A$2:$A$97=$A52),(Colles!M$2:M$97=$B52),(Colles!$B$2:$B$97))&gt;0,sumproduct((Colles!$A$2:$A$97=$A52),(Colles!M$2:M$97=$B52),(Colles!$B$2:$B$97)),"")</f>
        <v>16</v>
      </c>
      <c r="R52" s="32">
        <f>if(sumproduct((Colles!$A$2:$A$97=$A52),(Colles!N$2:N$97=$B52),(Colles!$B$2:$B$97))&gt;0,sumproduct((Colles!$A$2:$A$97=$A52),(Colles!N$2:N$97=$B52),(Colles!$B$2:$B$97)),"")</f>
        <v>1</v>
      </c>
      <c r="S52" s="103">
        <f>if(sumproduct((Colles!$A$2:$A$97=$A52),(Colles!O$2:O$97=$B52),(Colles!$B$2:$B$97))&gt;0,sumproduct((Colles!$A$2:$A$97=$A52),(Colles!O$2:O$97=$B52),(Colles!$B$2:$B$97)),"")</f>
        <v>12</v>
      </c>
      <c r="T52" s="34"/>
      <c r="U52" s="34" t="str">
        <f>if(sumproduct((Colles!$A$2:$A$97=$A52),(Colles!Q$2:Q$97=$B52),(Colles!$B$2:$B$97))&gt;0,sumproduct((Colles!$A$2:$A$97=$A52),(Colles!Q$2:Q$97=$B52),(Colles!$B$2:$B$97)),"")</f>
        <v/>
      </c>
      <c r="V52" s="32">
        <f>if(sumproduct((Colles!$A$2:$A$97=$A52),(Colles!R$2:R$97=$B52),(Colles!$B$2:$B$97))&gt;0,sumproduct((Colles!$A$2:$A$97=$A52),(Colles!R$2:R$97=$B52),(Colles!$B$2:$B$97)),"")</f>
        <v>3</v>
      </c>
      <c r="W52" s="103">
        <f>if(sumproduct((Colles!$A$2:$A$97=$A52),(Colles!S$2:S$97=$B52),(Colles!$B$2:$B$97))&gt;0,sumproduct((Colles!$A$2:$A$97=$A52),(Colles!S$2:S$97=$B52),(Colles!$B$2:$B$97)),"")</f>
        <v>2</v>
      </c>
      <c r="Y52" s="1">
        <f t="shared" ref="Y52:Y55" si="25">Y51</f>
        <v>13</v>
      </c>
      <c r="Z52" s="114" t="str">
        <f t="array" ref="Z52">IF(ISERROR(ADDRESS(SUMPRODUCT('Trinômes'!$B$2:$B$48=Y52,'Trinômes'!$C$2:$C$48=COUNTIF(Y$21:Y52,"="&amp;Y52)-1
,ROW('Trinômes'!$A$2:$A$48)),COLUMN('Trinômes'!$A$1)-COLUMN('Trinômes'!$A$1)+1)),"",indirect("Trinômes!"&amp;ADDRESS(SUMPRODUCT('Trinômes'!$B$2:$B$48=Y52,'Trinômes'!$C$2:$C$48=COUNTIF(Y$21:Y52,"="&amp;Y52)-1
,ROW('Trinômes'!$A$2:$A$48)),COLUMN('Trinômes'!$A$1)-COLUMN('Trinômes'!$A$1)+1)))</f>
        <v>RASTORGUEFF-RAYBAUD Bastien</v>
      </c>
      <c r="AA52" s="1">
        <f t="shared" ref="AA52:AA55" si="26">AA51</f>
        <v>14</v>
      </c>
      <c r="AB52" s="114" t="str">
        <f t="array" ref="AB52">IF(ISERROR(ADDRESS(SUMPRODUCT('Trinômes'!$B$2:$B$48=AA52,'Trinômes'!$C$2:$C$48=COUNTIF(AA$21:AA52,"="&amp;AA52)-1
,ROW('Trinômes'!$A$2:$A$48)),COLUMN('Trinômes'!$A$1)-COLUMN('Trinômes'!$A$1)+1)),"",indirect("Trinômes!"&amp;ADDRESS(SUMPRODUCT('Trinômes'!$B$2:$B$48=AA52,'Trinômes'!$C$2:$C$48=COUNTIF(AA$21:AA52,"="&amp;AA52)-1
,ROW('Trinômes'!$A$2:$A$48)),COLUMN('Trinômes'!$A$1)-COLUMN('Trinômes'!$A$1)+1)))</f>
        <v>RUAULT Marilou</v>
      </c>
    </row>
    <row r="53">
      <c r="A53" s="5" t="str">
        <f>'Créneaux'!E28</f>
        <v>Chimie</v>
      </c>
      <c r="B53" s="30">
        <f>'Créneaux'!F28</f>
        <v>3</v>
      </c>
      <c r="C53" s="101" t="str">
        <f>'Créneaux'!G28</f>
        <v>M. Roisin</v>
      </c>
      <c r="D53" s="32" t="str">
        <f>switch('Créneaux'!H28,0,"Lundi",1,"Mardi",2,"Mercredi",3,"Jeudi",4,"Vendredi")</f>
        <v>Jeudi</v>
      </c>
      <c r="E53" s="32" t="str">
        <f>'Créneaux'!I28&amp;"h"</f>
        <v>14h</v>
      </c>
      <c r="F53" s="32" t="str">
        <f>'Créneaux'!J28</f>
        <v>K22</v>
      </c>
      <c r="G53" s="34" t="str">
        <f>if(sumproduct((Colles!$A$2:$A$97=$A53),(Colles!C$2:C$97=$B53),(Colles!$B$2:$B$97))&gt;0,sumproduct((Colles!$A$2:$A$97=$A53),(Colles!C$2:C$97=$B53),(Colles!$B$2:$B$97)),"")</f>
        <v/>
      </c>
      <c r="H53" s="103">
        <f>if(sumproduct((Colles!$A$2:$A$97=$A53),(Colles!D$2:D$97=$B53),(Colles!$B$2:$B$97))&gt;0,sumproduct((Colles!$A$2:$A$97=$A53),(Colles!D$2:D$97=$B53),(Colles!$B$2:$B$97)),"")</f>
        <v>4</v>
      </c>
      <c r="I53" s="32">
        <f>if(sumproduct((Colles!$A$2:$A$97=$A53),(Colles!E$2:E$97=$B53),(Colles!$B$2:$B$97))&gt;0,sumproduct((Colles!$A$2:$A$97=$A53),(Colles!E$2:E$97=$B53),(Colles!$B$2:$B$97)),"")</f>
        <v>1</v>
      </c>
      <c r="J53" s="103">
        <f>if(sumproduct((Colles!$A$2:$A$97=$A53),(Colles!F$2:F$97=$B53),(Colles!$B$2:$B$97))&gt;0,sumproduct((Colles!$A$2:$A$97=$A53),(Colles!F$2:F$97=$B53),(Colles!$B$2:$B$97)),"")</f>
        <v>6</v>
      </c>
      <c r="K53" s="32">
        <f>if(sumproduct((Colles!$A$2:$A$97=$A53),(Colles!G$2:G$97=$B53),(Colles!$B$2:$B$97))&gt;0,sumproduct((Colles!$A$2:$A$97=$A53),(Colles!G$2:G$97=$B53),(Colles!$B$2:$B$97)),"")</f>
        <v>15</v>
      </c>
      <c r="L53" s="34"/>
      <c r="M53" s="103">
        <f>if(sumproduct((Colles!$A$2:$A$97=$A53),(Colles!I$2:I$97=$B53),(Colles!$B$2:$B$97))&gt;0,sumproduct((Colles!$A$2:$A$97=$A53),(Colles!I$2:I$97=$B53),(Colles!$B$2:$B$97)),"")</f>
        <v>10</v>
      </c>
      <c r="N53" s="32">
        <f>if(sumproduct((Colles!$A$2:$A$97=$A53),(Colles!J$2:J$97=$B53),(Colles!$B$2:$B$97))&gt;0,sumproduct((Colles!$A$2:$A$97=$A53),(Colles!J$2:J$97=$B53),(Colles!$B$2:$B$97)),"")</f>
        <v>13</v>
      </c>
      <c r="O53" s="103">
        <f>if(sumproduct((Colles!$A$2:$A$97=$A53),(Colles!K$2:K$97=$B53),(Colles!$B$2:$B$97))&gt;0,sumproduct((Colles!$A$2:$A$97=$A53),(Colles!K$2:K$97=$B53),(Colles!$B$2:$B$97)),"")</f>
        <v>14</v>
      </c>
      <c r="P53" s="32">
        <f>if(sumproduct((Colles!$A$2:$A$97=$A53),(Colles!L$2:L$97=$B53),(Colles!$B$2:$B$97))&gt;0,sumproduct((Colles!$A$2:$A$97=$A53),(Colles!L$2:L$97=$B53),(Colles!$B$2:$B$97)),"")</f>
        <v>11</v>
      </c>
      <c r="Q53" s="103">
        <f>if(sumproduct((Colles!$A$2:$A$97=$A53),(Colles!M$2:M$97=$B53),(Colles!$B$2:$B$97))&gt;0,sumproduct((Colles!$A$2:$A$97=$A53),(Colles!M$2:M$97=$B53),(Colles!$B$2:$B$97)),"")</f>
        <v>2</v>
      </c>
      <c r="R53" s="32">
        <f>if(sumproduct((Colles!$A$2:$A$97=$A53),(Colles!N$2:N$97=$B53),(Colles!$B$2:$B$97))&gt;0,sumproduct((Colles!$A$2:$A$97=$A53),(Colles!N$2:N$97=$B53),(Colles!$B$2:$B$97)),"")</f>
        <v>3</v>
      </c>
      <c r="S53" s="103">
        <f>if(sumproduct((Colles!$A$2:$A$97=$A53),(Colles!O$2:O$97=$B53),(Colles!$B$2:$B$97))&gt;0,sumproduct((Colles!$A$2:$A$97=$A53),(Colles!O$2:O$97=$B53),(Colles!$B$2:$B$97)),"")</f>
        <v>4</v>
      </c>
      <c r="T53" s="34"/>
      <c r="U53" s="34" t="str">
        <f>if(sumproduct((Colles!$A$2:$A$97=$A53),(Colles!Q$2:Q$97=$B53),(Colles!$B$2:$B$97))&gt;0,sumproduct((Colles!$A$2:$A$97=$A53),(Colles!Q$2:Q$97=$B53),(Colles!$B$2:$B$97)),"")</f>
        <v/>
      </c>
      <c r="V53" s="32">
        <f>if(sumproduct((Colles!$A$2:$A$97=$A53),(Colles!R$2:R$97=$B53),(Colles!$B$2:$B$97))&gt;0,sumproduct((Colles!$A$2:$A$97=$A53),(Colles!R$2:R$97=$B53),(Colles!$B$2:$B$97)),"")</f>
        <v>5</v>
      </c>
      <c r="W53" s="103">
        <f>if(sumproduct((Colles!$A$2:$A$97=$A53),(Colles!S$2:S$97=$B53),(Colles!$B$2:$B$97))&gt;0,sumproduct((Colles!$A$2:$A$97=$A53),(Colles!S$2:S$97=$B53),(Colles!$B$2:$B$97)),"")</f>
        <v>6</v>
      </c>
      <c r="Y53" s="1">
        <f t="shared" si="25"/>
        <v>13</v>
      </c>
      <c r="Z53" s="114" t="str">
        <f t="array" ref="Z53">IF(ISERROR(ADDRESS(SUMPRODUCT('Trinômes'!$B$2:$B$48=Y53,'Trinômes'!$C$2:$C$48=COUNTIF(Y$21:Y53,"="&amp;Y53)-1
,ROW('Trinômes'!$A$2:$A$48)),COLUMN('Trinômes'!$A$1)-COLUMN('Trinômes'!$A$1)+1)),"",indirect("Trinômes!"&amp;ADDRESS(SUMPRODUCT('Trinômes'!$B$2:$B$48=Y53,'Trinômes'!$C$2:$C$48=COUNTIF(Y$21:Y53,"="&amp;Y53)-1
,ROW('Trinômes'!$A$2:$A$48)),COLUMN('Trinômes'!$A$1)-COLUMN('Trinômes'!$A$1)+1)))</f>
        <v>RAZANAJAO Lucas</v>
      </c>
      <c r="AA53" s="1">
        <f t="shared" si="26"/>
        <v>14</v>
      </c>
      <c r="AB53" s="114" t="str">
        <f t="array" ref="AB53">IF(ISERROR(ADDRESS(SUMPRODUCT('Trinômes'!$B$2:$B$48=AA53,'Trinômes'!$C$2:$C$48=COUNTIF(AA$21:AA53,"="&amp;AA53)-1
,ROW('Trinômes'!$A$2:$A$48)),COLUMN('Trinômes'!$A$1)-COLUMN('Trinômes'!$A$1)+1)),"",indirect("Trinômes!"&amp;ADDRESS(SUMPRODUCT('Trinômes'!$B$2:$B$48=AA53,'Trinômes'!$C$2:$C$48=COUNTIF(AA$21:AA53,"="&amp;AA53)-1
,ROW('Trinômes'!$A$2:$A$48)),COLUMN('Trinômes'!$A$1)-COLUMN('Trinômes'!$A$1)+1)))</f>
        <v>THAERON Helena</v>
      </c>
    </row>
    <row r="54">
      <c r="A54" s="5" t="str">
        <f>'Créneaux'!E29</f>
        <v>Chimie</v>
      </c>
      <c r="B54" s="30">
        <f>'Créneaux'!F29</f>
        <v>4</v>
      </c>
      <c r="C54" s="101" t="str">
        <f>'Créneaux'!G29</f>
        <v>M. Jean</v>
      </c>
      <c r="D54" s="32" t="str">
        <f>switch('Créneaux'!H29,0,"Lundi",1,"Mardi",2,"Mercredi",3,"Jeudi",4,"Vendredi")</f>
        <v>Vendredi</v>
      </c>
      <c r="E54" s="32" t="str">
        <f>'Créneaux'!I29&amp;"h"</f>
        <v>16h</v>
      </c>
      <c r="F54" s="32" t="str">
        <f>'Créneaux'!J29</f>
        <v>K24</v>
      </c>
      <c r="G54" s="34" t="str">
        <f>if(sumproduct((Colles!$A$2:$A$97=$A54),(Colles!C$2:C$97=$B54),(Colles!$B$2:$B$97))&gt;0,sumproduct((Colles!$A$2:$A$97=$A54),(Colles!C$2:C$97=$B54),(Colles!$B$2:$B$97)),"")</f>
        <v/>
      </c>
      <c r="H54" s="103">
        <f>if(sumproduct((Colles!$A$2:$A$97=$A54),(Colles!D$2:D$97=$B54),(Colles!$B$2:$B$97))&gt;0,sumproduct((Colles!$A$2:$A$97=$A54),(Colles!D$2:D$97=$B54),(Colles!$B$2:$B$97)),"")</f>
        <v>10</v>
      </c>
      <c r="I54" s="32">
        <f>if(sumproduct((Colles!$A$2:$A$97=$A54),(Colles!E$2:E$97=$B54),(Colles!$B$2:$B$97))&gt;0,sumproduct((Colles!$A$2:$A$97=$A54),(Colles!E$2:E$97=$B54),(Colles!$B$2:$B$97)),"")</f>
        <v>11</v>
      </c>
      <c r="J54" s="103">
        <f>if(sumproduct((Colles!$A$2:$A$97=$A54),(Colles!F$2:F$97=$B54),(Colles!$B$2:$B$97))&gt;0,sumproduct((Colles!$A$2:$A$97=$A54),(Colles!F$2:F$97=$B54),(Colles!$B$2:$B$97)),"")</f>
        <v>14</v>
      </c>
      <c r="K54" s="32">
        <f>if(sumproduct((Colles!$A$2:$A$97=$A54),(Colles!G$2:G$97=$B54),(Colles!$B$2:$B$97))&gt;0,sumproduct((Colles!$A$2:$A$97=$A54),(Colles!G$2:G$97=$B54),(Colles!$B$2:$B$97)),"")</f>
        <v>13</v>
      </c>
      <c r="L54" s="34"/>
      <c r="M54" s="103">
        <f>if(sumproduct((Colles!$A$2:$A$97=$A54),(Colles!I$2:I$97=$B54),(Colles!$B$2:$B$97))&gt;0,sumproduct((Colles!$A$2:$A$97=$A54),(Colles!I$2:I$97=$B54),(Colles!$B$2:$B$97)),"")</f>
        <v>12</v>
      </c>
      <c r="N54" s="32">
        <f>if(sumproduct((Colles!$A$2:$A$97=$A54),(Colles!J$2:J$97=$B54),(Colles!$B$2:$B$97))&gt;0,sumproduct((Colles!$A$2:$A$97=$A54),(Colles!J$2:J$97=$B54),(Colles!$B$2:$B$97)),"")</f>
        <v>7</v>
      </c>
      <c r="O54" s="103">
        <f>if(sumproduct((Colles!$A$2:$A$97=$A54),(Colles!K$2:K$97=$B54),(Colles!$B$2:$B$97))&gt;0,sumproduct((Colles!$A$2:$A$97=$A54),(Colles!K$2:K$97=$B54),(Colles!$B$2:$B$97)),"")</f>
        <v>2</v>
      </c>
      <c r="P54" s="32">
        <f>if(sumproduct((Colles!$A$2:$A$97=$A54),(Colles!L$2:L$97=$B54),(Colles!$B$2:$B$97))&gt;0,sumproduct((Colles!$A$2:$A$97=$A54),(Colles!L$2:L$97=$B54),(Colles!$B$2:$B$97)),"")</f>
        <v>15</v>
      </c>
      <c r="Q54" s="103">
        <f>if(sumproduct((Colles!$A$2:$A$97=$A54),(Colles!M$2:M$97=$B54),(Colles!$B$2:$B$97))&gt;0,sumproduct((Colles!$A$2:$A$97=$A54),(Colles!M$2:M$97=$B54),(Colles!$B$2:$B$97)),"")</f>
        <v>10</v>
      </c>
      <c r="R54" s="32">
        <f>if(sumproduct((Colles!$A$2:$A$97=$A54),(Colles!N$2:N$97=$B54),(Colles!$B$2:$B$97))&gt;0,sumproduct((Colles!$A$2:$A$97=$A54),(Colles!N$2:N$97=$B54),(Colles!$B$2:$B$97)),"")</f>
        <v>9</v>
      </c>
      <c r="S54" s="103">
        <f>if(sumproduct((Colles!$A$2:$A$97=$A54),(Colles!O$2:O$97=$B54),(Colles!$B$2:$B$97))&gt;0,sumproduct((Colles!$A$2:$A$97=$A54),(Colles!O$2:O$97=$B54),(Colles!$B$2:$B$97)),"")</f>
        <v>6</v>
      </c>
      <c r="T54" s="34"/>
      <c r="U54" s="34" t="str">
        <f>if(sumproduct((Colles!$A$2:$A$97=$A54),(Colles!Q$2:Q$97=$B54),(Colles!$B$2:$B$97))&gt;0,sumproduct((Colles!$A$2:$A$97=$A54),(Colles!Q$2:Q$97=$B54),(Colles!$B$2:$B$97)),"")</f>
        <v/>
      </c>
      <c r="V54" s="32">
        <f>if(sumproduct((Colles!$A$2:$A$97=$A54),(Colles!R$2:R$97=$B54),(Colles!$B$2:$B$97))&gt;0,sumproduct((Colles!$A$2:$A$97=$A54),(Colles!R$2:R$97=$B54),(Colles!$B$2:$B$97)),"")</f>
        <v>11</v>
      </c>
      <c r="W54" s="103">
        <f>if(sumproduct((Colles!$A$2:$A$97=$A54),(Colles!S$2:S$97=$B54),(Colles!$B$2:$B$97))&gt;0,sumproduct((Colles!$A$2:$A$97=$A54),(Colles!S$2:S$97=$B54),(Colles!$B$2:$B$97)),"")</f>
        <v>4</v>
      </c>
      <c r="Y54" s="1">
        <f t="shared" si="25"/>
        <v>13</v>
      </c>
      <c r="Z54" s="114" t="str">
        <f t="array" ref="Z54">IF(ISERROR(ADDRESS(SUMPRODUCT('Trinômes'!$B$2:$B$48=Y54,'Trinômes'!$C$2:$C$48=COUNTIF(Y$21:Y54,"="&amp;Y54)-1
,ROW('Trinômes'!$A$2:$A$48)),COLUMN('Trinômes'!$A$1)-COLUMN('Trinômes'!$A$1)+1)),"",indirect("Trinômes!"&amp;ADDRESS(SUMPRODUCT('Trinômes'!$B$2:$B$48=Y54,'Trinômes'!$C$2:$C$48=COUNTIF(Y$21:Y54,"="&amp;Y54)-1
,ROW('Trinômes'!$A$2:$A$48)),COLUMN('Trinômes'!$A$1)-COLUMN('Trinômes'!$A$1)+1)))</f>
        <v>REBUFFEL Augustine</v>
      </c>
      <c r="AA54" s="1">
        <f t="shared" si="26"/>
        <v>14</v>
      </c>
      <c r="AB54" s="114" t="str">
        <f t="array" ref="AB54">IF(ISERROR(ADDRESS(SUMPRODUCT('Trinômes'!$B$2:$B$48=AA54,'Trinômes'!$C$2:$C$48=COUNTIF(AA$21:AA54,"="&amp;AA54)-1
,ROW('Trinômes'!$A$2:$A$48)),COLUMN('Trinômes'!$A$1)-COLUMN('Trinômes'!$A$1)+1)),"",indirect("Trinômes!"&amp;ADDRESS(SUMPRODUCT('Trinômes'!$B$2:$B$48=AA54,'Trinômes'!$C$2:$C$48=COUNTIF(AA$21:AA54,"="&amp;AA54)-1
,ROW('Trinômes'!$A$2:$A$48)),COLUMN('Trinômes'!$A$1)-COLUMN('Trinômes'!$A$1)+1)))</f>
        <v>VIEILLARD BARON Lubin</v>
      </c>
    </row>
    <row r="55">
      <c r="A55" s="5" t="str">
        <f>'Créneaux'!E30</f>
        <v>Chimie</v>
      </c>
      <c r="B55" s="30">
        <f>'Créneaux'!F30</f>
        <v>5</v>
      </c>
      <c r="C55" s="101" t="str">
        <f>'Créneaux'!G30</f>
        <v>M. Jean</v>
      </c>
      <c r="D55" s="32" t="str">
        <f>switch('Créneaux'!H30,0,"Lundi",1,"Mardi",2,"Mercredi",3,"Jeudi",4,"Vendredi")</f>
        <v>Vendredi</v>
      </c>
      <c r="E55" s="32" t="str">
        <f>'Créneaux'!I30&amp;"h"</f>
        <v>18h</v>
      </c>
      <c r="F55" s="32" t="str">
        <f>'Créneaux'!J30</f>
        <v>K24</v>
      </c>
      <c r="G55" s="34" t="str">
        <f>if(sumproduct((Colles!$A$2:$A$97=$A55),(Colles!C$2:C$97=$B55),(Colles!$B$2:$B$97))&gt;0,sumproduct((Colles!$A$2:$A$97=$A55),(Colles!C$2:C$97=$B55),(Colles!$B$2:$B$97)),"")</f>
        <v/>
      </c>
      <c r="H55" s="103">
        <f>if(sumproduct((Colles!$A$2:$A$97=$A55),(Colles!D$2:D$97=$B55),(Colles!$B$2:$B$97))&gt;0,sumproduct((Colles!$A$2:$A$97=$A55),(Colles!D$2:D$97=$B55),(Colles!$B$2:$B$97)),"")</f>
        <v>6</v>
      </c>
      <c r="I55" s="32">
        <f>if(sumproduct((Colles!$A$2:$A$97=$A55),(Colles!E$2:E$97=$B55),(Colles!$B$2:$B$97))&gt;0,sumproduct((Colles!$A$2:$A$97=$A55),(Colles!E$2:E$97=$B55),(Colles!$B$2:$B$97)),"")</f>
        <v>7</v>
      </c>
      <c r="J55" s="103">
        <f>if(sumproduct((Colles!$A$2:$A$97=$A55),(Colles!F$2:F$97=$B55),(Colles!$B$2:$B$97))&gt;0,sumproduct((Colles!$A$2:$A$97=$A55),(Colles!F$2:F$97=$B55),(Colles!$B$2:$B$97)),"")</f>
        <v>16</v>
      </c>
      <c r="K55" s="32">
        <f>if(sumproduct((Colles!$A$2:$A$97=$A55),(Colles!G$2:G$97=$B55),(Colles!$B$2:$B$97))&gt;0,sumproduct((Colles!$A$2:$A$97=$A55),(Colles!G$2:G$97=$B55),(Colles!$B$2:$B$97)),"")</f>
        <v>1</v>
      </c>
      <c r="L55" s="34"/>
      <c r="M55" s="103">
        <f>if(sumproduct((Colles!$A$2:$A$97=$A55),(Colles!I$2:I$97=$B55),(Colles!$B$2:$B$97))&gt;0,sumproduct((Colles!$A$2:$A$97=$A55),(Colles!I$2:I$97=$B55),(Colles!$B$2:$B$97)),"")</f>
        <v>8</v>
      </c>
      <c r="N55" s="32">
        <f>if(sumproduct((Colles!$A$2:$A$97=$A55),(Colles!J$2:J$97=$B55),(Colles!$B$2:$B$97))&gt;0,sumproduct((Colles!$A$2:$A$97=$A55),(Colles!J$2:J$97=$B55),(Colles!$B$2:$B$97)),"")</f>
        <v>15</v>
      </c>
      <c r="O55" s="103">
        <f>if(sumproduct((Colles!$A$2:$A$97=$A55),(Colles!K$2:K$97=$B55),(Colles!$B$2:$B$97))&gt;0,sumproduct((Colles!$A$2:$A$97=$A55),(Colles!K$2:K$97=$B55),(Colles!$B$2:$B$97)),"")</f>
        <v>12</v>
      </c>
      <c r="P55" s="32">
        <f>if(sumproduct((Colles!$A$2:$A$97=$A55),(Colles!L$2:L$97=$B55),(Colles!$B$2:$B$97))&gt;0,sumproduct((Colles!$A$2:$A$97=$A55),(Colles!L$2:L$97=$B55),(Colles!$B$2:$B$97)),"")</f>
        <v>9</v>
      </c>
      <c r="Q55" s="103">
        <f>if(sumproduct((Colles!$A$2:$A$97=$A55),(Colles!M$2:M$97=$B55),(Colles!$B$2:$B$97))&gt;0,sumproduct((Colles!$A$2:$A$97=$A55),(Colles!M$2:M$97=$B55),(Colles!$B$2:$B$97)),"")</f>
        <v>8</v>
      </c>
      <c r="R55" s="32">
        <f>if(sumproduct((Colles!$A$2:$A$97=$A55),(Colles!N$2:N$97=$B55),(Colles!$B$2:$B$97))&gt;0,sumproduct((Colles!$A$2:$A$97=$A55),(Colles!N$2:N$97=$B55),(Colles!$B$2:$B$97)),"")</f>
        <v>7</v>
      </c>
      <c r="S55" s="103">
        <f>if(sumproduct((Colles!$A$2:$A$97=$A55),(Colles!O$2:O$97=$B55),(Colles!$B$2:$B$97))&gt;0,sumproduct((Colles!$A$2:$A$97=$A55),(Colles!O$2:O$97=$B55),(Colles!$B$2:$B$97)),"")</f>
        <v>2</v>
      </c>
      <c r="T55" s="34"/>
      <c r="U55" s="34" t="str">
        <f>if(sumproduct((Colles!$A$2:$A$97=$A55),(Colles!Q$2:Q$97=$B55),(Colles!$B$2:$B$97))&gt;0,sumproduct((Colles!$A$2:$A$97=$A55),(Colles!Q$2:Q$97=$B55),(Colles!$B$2:$B$97)),"")</f>
        <v/>
      </c>
      <c r="V55" s="32">
        <f>if(sumproduct((Colles!$A$2:$A$97=$A55),(Colles!R$2:R$97=$B55),(Colles!$B$2:$B$97))&gt;0,sumproduct((Colles!$A$2:$A$97=$A55),(Colles!R$2:R$97=$B55),(Colles!$B$2:$B$97)),"")</f>
        <v>1</v>
      </c>
      <c r="W55" s="103">
        <f>if(sumproduct((Colles!$A$2:$A$97=$A55),(Colles!S$2:S$97=$B55),(Colles!$B$2:$B$97))&gt;0,sumproduct((Colles!$A$2:$A$97=$A55),(Colles!S$2:S$97=$B55),(Colles!$B$2:$B$97)),"")</f>
        <v>10</v>
      </c>
      <c r="Y55" s="1">
        <f t="shared" si="25"/>
        <v>13</v>
      </c>
      <c r="Z55" s="1"/>
      <c r="AA55" s="1">
        <f t="shared" si="26"/>
        <v>14</v>
      </c>
      <c r="AB55" s="1"/>
    </row>
    <row r="56">
      <c r="A56" s="5" t="str">
        <f>'Créneaux'!E31</f>
        <v>Chimie</v>
      </c>
      <c r="B56" s="30">
        <f>'Créneaux'!F31</f>
        <v>6</v>
      </c>
      <c r="C56" s="101" t="str">
        <f>'Créneaux'!G31</f>
        <v>Mme Bacchelli</v>
      </c>
      <c r="D56" s="32" t="str">
        <f>switch('Créneaux'!H31,0,"Lundi",1,"Mardi",2,"Mercredi",3,"Jeudi",4,"Vendredi")</f>
        <v>Vendredi</v>
      </c>
      <c r="E56" s="32" t="str">
        <f>'Créneaux'!I31&amp;"h"</f>
        <v>16h</v>
      </c>
      <c r="F56" s="32" t="str">
        <f>'Créneaux'!J31</f>
        <v>K23</v>
      </c>
      <c r="G56" s="34" t="str">
        <f>if(sumproduct((Colles!$A$2:$A$97=$A56),(Colles!C$2:C$97=$B56),(Colles!$B$2:$B$97))&gt;0,sumproduct((Colles!$A$2:$A$97=$A56),(Colles!C$2:C$97=$B56),(Colles!$B$2:$B$97)),"")</f>
        <v/>
      </c>
      <c r="H56" s="103">
        <f>if(sumproduct((Colles!$A$2:$A$97=$A56),(Colles!D$2:D$97=$B56),(Colles!$B$2:$B$97))&gt;0,sumproduct((Colles!$A$2:$A$97=$A56),(Colles!D$2:D$97=$B56),(Colles!$B$2:$B$97)),"")</f>
        <v>12</v>
      </c>
      <c r="I56" s="32">
        <f>if(sumproduct((Colles!$A$2:$A$97=$A56),(Colles!E$2:E$97=$B56),(Colles!$B$2:$B$97))&gt;0,sumproduct((Colles!$A$2:$A$97=$A56),(Colles!E$2:E$97=$B56),(Colles!$B$2:$B$97)),"")</f>
        <v>5</v>
      </c>
      <c r="J56" s="103">
        <f>if(sumproduct((Colles!$A$2:$A$97=$A56),(Colles!F$2:F$97=$B56),(Colles!$B$2:$B$97))&gt;0,sumproduct((Colles!$A$2:$A$97=$A56),(Colles!F$2:F$97=$B56),(Colles!$B$2:$B$97)),"")</f>
        <v>4</v>
      </c>
      <c r="K56" s="32">
        <f>if(sumproduct((Colles!$A$2:$A$97=$A56),(Colles!G$2:G$97=$B56),(Colles!$B$2:$B$97))&gt;0,sumproduct((Colles!$A$2:$A$97=$A56),(Colles!G$2:G$97=$B56),(Colles!$B$2:$B$97)),"")</f>
        <v>7</v>
      </c>
      <c r="L56" s="34"/>
      <c r="M56" s="103">
        <f>if(sumproduct((Colles!$A$2:$A$97=$A56),(Colles!I$2:I$97=$B56),(Colles!$B$2:$B$97))&gt;0,sumproduct((Colles!$A$2:$A$97=$A56),(Colles!I$2:I$97=$B56),(Colles!$B$2:$B$97)),"")</f>
        <v>14</v>
      </c>
      <c r="N56" s="32">
        <f>if(sumproduct((Colles!$A$2:$A$97=$A56),(Colles!J$2:J$97=$B56),(Colles!$B$2:$B$97))&gt;0,sumproduct((Colles!$A$2:$A$97=$A56),(Colles!J$2:J$97=$B56),(Colles!$B$2:$B$97)),"")</f>
        <v>11</v>
      </c>
      <c r="O56" s="103">
        <f>if(sumproduct((Colles!$A$2:$A$97=$A56),(Colles!K$2:K$97=$B56),(Colles!$B$2:$B$97))&gt;0,sumproduct((Colles!$A$2:$A$97=$A56),(Colles!K$2:K$97=$B56),(Colles!$B$2:$B$97)),"")</f>
        <v>16</v>
      </c>
      <c r="P56" s="32">
        <f>if(sumproduct((Colles!$A$2:$A$97=$A56),(Colles!L$2:L$97=$B56),(Colles!$B$2:$B$97))&gt;0,sumproduct((Colles!$A$2:$A$97=$A56),(Colles!L$2:L$97=$B56),(Colles!$B$2:$B$97)),"")</f>
        <v>13</v>
      </c>
      <c r="Q56" s="103">
        <f>if(sumproduct((Colles!$A$2:$A$97=$A56),(Colles!M$2:M$97=$B56),(Colles!$B$2:$B$97))&gt;0,sumproduct((Colles!$A$2:$A$97=$A56),(Colles!M$2:M$97=$B56),(Colles!$B$2:$B$97)),"")</f>
        <v>6</v>
      </c>
      <c r="R56" s="32">
        <f>if(sumproduct((Colles!$A$2:$A$97=$A56),(Colles!N$2:N$97=$B56),(Colles!$B$2:$B$97))&gt;0,sumproduct((Colles!$A$2:$A$97=$A56),(Colles!N$2:N$97=$B56),(Colles!$B$2:$B$97)),"")</f>
        <v>11</v>
      </c>
      <c r="S56" s="103">
        <f>if(sumproduct((Colles!$A$2:$A$97=$A56),(Colles!O$2:O$97=$B56),(Colles!$B$2:$B$97))&gt;0,sumproduct((Colles!$A$2:$A$97=$A56),(Colles!O$2:O$97=$B56),(Colles!$B$2:$B$97)),"")</f>
        <v>16</v>
      </c>
      <c r="T56" s="34"/>
      <c r="U56" s="34" t="str">
        <f>if(sumproduct((Colles!$A$2:$A$97=$A56),(Colles!Q$2:Q$97=$B56),(Colles!$B$2:$B$97))&gt;0,sumproduct((Colles!$A$2:$A$97=$A56),(Colles!Q$2:Q$97=$B56),(Colles!$B$2:$B$97)),"")</f>
        <v/>
      </c>
      <c r="V56" s="32">
        <f>if(sumproduct((Colles!$A$2:$A$97=$A56),(Colles!R$2:R$97=$B56),(Colles!$B$2:$B$97))&gt;0,sumproduct((Colles!$A$2:$A$97=$A56),(Colles!R$2:R$97=$B56),(Colles!$B$2:$B$97)),"")</f>
        <v>15</v>
      </c>
      <c r="W56" s="103">
        <f>if(sumproduct((Colles!$A$2:$A$97=$A56),(Colles!S$2:S$97=$B56),(Colles!$B$2:$B$97))&gt;0,sumproduct((Colles!$A$2:$A$97=$A56),(Colles!S$2:S$97=$B56),(Colles!$B$2:$B$97)),"")</f>
        <v>8</v>
      </c>
      <c r="Y56" s="1">
        <f>AA51+1</f>
        <v>15</v>
      </c>
      <c r="Z56" s="111" t="str">
        <f>Y56&amp;IF(SUMPRODUCT('Trinômes'!$A$2:$A$48=Z57,'Trinômes'!$D$2:$D$48&lt;&gt;0)+SUMPRODUCT('Trinômes'!$A$2:$A$48=Z58,'Trinômes'!$D$2:$D$48&lt;&gt;0)+SUMPRODUCT('Trinômes'!$A$2:$A$48=Z59,'Trinômes'!$D$2:$D$48&lt;&gt;0)&gt;0," – LV2","")</f>
        <v>15 – LV2</v>
      </c>
      <c r="AA56" s="112">
        <f>Y56+1</f>
        <v>16</v>
      </c>
      <c r="AB56" s="113" t="str">
        <f>AA56&amp;IF(SUMPRODUCT('Trinômes'!$A$2:$A$48=AB57,'Trinômes'!$D$2:$D$48&lt;&gt;0)+SUMPRODUCT('Trinômes'!$A$2:$A$48=AB58,'Trinômes'!$D$2:$D$48&lt;&gt;0)+SUMPRODUCT('Trinômes'!$A$2:$A$48=AB59,'Trinômes'!$D$2:$D$48&lt;&gt;0)&gt;0," – LV2","")</f>
        <v>16 – LV2</v>
      </c>
    </row>
    <row r="57">
      <c r="A57" s="5" t="str">
        <f>'Créneaux'!E32</f>
        <v>Chimie</v>
      </c>
      <c r="B57" s="30">
        <f>'Créneaux'!F32</f>
        <v>7</v>
      </c>
      <c r="C57" s="101" t="str">
        <f>'Créneaux'!G32</f>
        <v>Mme Zavoli</v>
      </c>
      <c r="D57" s="32" t="str">
        <f>switch('Créneaux'!H32,0,"Lundi",1,"Mardi",2,"Mercredi",3,"Jeudi",4,"Vendredi")</f>
        <v>Vendredi</v>
      </c>
      <c r="E57" s="32" t="str">
        <f>'Créneaux'!I32&amp;"h"</f>
        <v>16h</v>
      </c>
      <c r="F57" s="32" t="str">
        <f>'Créneaux'!J32</f>
        <v>K25</v>
      </c>
      <c r="G57" s="34" t="str">
        <f>if(sumproduct((Colles!$A$2:$A$97=$A57),(Colles!C$2:C$97=$B57),(Colles!$B$2:$B$97))&gt;0,sumproduct((Colles!$A$2:$A$97=$A57),(Colles!C$2:C$97=$B57),(Colles!$B$2:$B$97)),"")</f>
        <v/>
      </c>
      <c r="H57" s="103">
        <f>if(sumproduct((Colles!$A$2:$A$97=$A57),(Colles!D$2:D$97=$B57),(Colles!$B$2:$B$97))&gt;0,sumproduct((Colles!$A$2:$A$97=$A57),(Colles!D$2:D$97=$B57),(Colles!$B$2:$B$97)),"")</f>
        <v>8</v>
      </c>
      <c r="I57" s="32">
        <f>if(sumproduct((Colles!$A$2:$A$97=$A57),(Colles!E$2:E$97=$B57),(Colles!$B$2:$B$97))&gt;0,sumproduct((Colles!$A$2:$A$97=$A57),(Colles!E$2:E$97=$B57),(Colles!$B$2:$B$97)),"")</f>
        <v>9</v>
      </c>
      <c r="J57" s="103">
        <f>if(sumproduct((Colles!$A$2:$A$97=$A57),(Colles!F$2:F$97=$B57),(Colles!$B$2:$B$97))&gt;0,sumproduct((Colles!$A$2:$A$97=$A57),(Colles!F$2:F$97=$B57),(Colles!$B$2:$B$97)),"")</f>
        <v>2</v>
      </c>
      <c r="K57" s="32">
        <f>if(sumproduct((Colles!$A$2:$A$97=$A57),(Colles!G$2:G$97=$B57),(Colles!$B$2:$B$97))&gt;0,sumproduct((Colles!$A$2:$A$97=$A57),(Colles!G$2:G$97=$B57),(Colles!$B$2:$B$97)),"")</f>
        <v>3</v>
      </c>
      <c r="L57" s="34"/>
      <c r="M57" s="103">
        <f>if(sumproduct((Colles!$A$2:$A$97=$A57),(Colles!I$2:I$97=$B57),(Colles!$B$2:$B$97))&gt;0,sumproduct((Colles!$A$2:$A$97=$A57),(Colles!I$2:I$97=$B57),(Colles!$B$2:$B$97)),"")</f>
        <v>16</v>
      </c>
      <c r="N57" s="32">
        <f>if(sumproduct((Colles!$A$2:$A$97=$A57),(Colles!J$2:J$97=$B57),(Colles!$B$2:$B$97))&gt;0,sumproduct((Colles!$A$2:$A$97=$A57),(Colles!J$2:J$97=$B57),(Colles!$B$2:$B$97)),"")</f>
        <v>9</v>
      </c>
      <c r="O57" s="103">
        <f>if(sumproduct((Colles!$A$2:$A$97=$A57),(Colles!K$2:K$97=$B57),(Colles!$B$2:$B$97))&gt;0,sumproduct((Colles!$A$2:$A$97=$A57),(Colles!K$2:K$97=$B57),(Colles!$B$2:$B$97)),"")</f>
        <v>4</v>
      </c>
      <c r="P57" s="32">
        <f>if(sumproduct((Colles!$A$2:$A$97=$A57),(Colles!L$2:L$97=$B57),(Colles!$B$2:$B$97))&gt;0,sumproduct((Colles!$A$2:$A$97=$A57),(Colles!L$2:L$97=$B57),(Colles!$B$2:$B$97)),"")</f>
        <v>5</v>
      </c>
      <c r="Q57" s="103">
        <f>if(sumproduct((Colles!$A$2:$A$97=$A57),(Colles!M$2:M$97=$B57),(Colles!$B$2:$B$97))&gt;0,sumproduct((Colles!$A$2:$A$97=$A57),(Colles!M$2:M$97=$B57),(Colles!$B$2:$B$97)),"")</f>
        <v>14</v>
      </c>
      <c r="R57" s="32">
        <f>if(sumproduct((Colles!$A$2:$A$97=$A57),(Colles!N$2:N$97=$B57),(Colles!$B$2:$B$97))&gt;0,sumproduct((Colles!$A$2:$A$97=$A57),(Colles!N$2:N$97=$B57),(Colles!$B$2:$B$97)),"")</f>
        <v>15</v>
      </c>
      <c r="S57" s="103">
        <f>if(sumproduct((Colles!$A$2:$A$97=$A57),(Colles!O$2:O$97=$B57),(Colles!$B$2:$B$97))&gt;0,sumproduct((Colles!$A$2:$A$97=$A57),(Colles!O$2:O$97=$B57),(Colles!$B$2:$B$97)),"")</f>
        <v>8</v>
      </c>
      <c r="T57" s="34"/>
      <c r="U57" s="34" t="str">
        <f>if(sumproduct((Colles!$A$2:$A$97=$A57),(Colles!Q$2:Q$97=$B57),(Colles!$B$2:$B$97))&gt;0,sumproduct((Colles!$A$2:$A$97=$A57),(Colles!Q$2:Q$97=$B57),(Colles!$B$2:$B$97)),"")</f>
        <v/>
      </c>
      <c r="V57" s="32">
        <f>if(sumproduct((Colles!$A$2:$A$97=$A57),(Colles!R$2:R$97=$B57),(Colles!$B$2:$B$97))&gt;0,sumproduct((Colles!$A$2:$A$97=$A57),(Colles!R$2:R$97=$B57),(Colles!$B$2:$B$97)),"")</f>
        <v>13</v>
      </c>
      <c r="W57" s="103">
        <f>if(sumproduct((Colles!$A$2:$A$97=$A57),(Colles!S$2:S$97=$B57),(Colles!$B$2:$B$97))&gt;0,sumproduct((Colles!$A$2:$A$97=$A57),(Colles!S$2:S$97=$B57),(Colles!$B$2:$B$97)),"")</f>
        <v>12</v>
      </c>
      <c r="Y57" s="1">
        <f t="shared" ref="Y57:Y60" si="27">Y56</f>
        <v>15</v>
      </c>
      <c r="Z57" s="114" t="str">
        <f t="array" ref="Z57">IF(ISERROR(ADDRESS(SUMPRODUCT('Trinômes'!$B$2:$B$48=Y57,'Trinômes'!$C$2:$C$48=COUNTIF(Y$21:Y57,"="&amp;Y57)-1
,ROW('Trinômes'!$A$2:$A$48)),COLUMN('Trinômes'!$A$1)-COLUMN('Trinômes'!$A$1)+1)),"",indirect("Trinômes!"&amp;ADDRESS(SUMPRODUCT('Trinômes'!$B$2:$B$48=Y57,'Trinômes'!$C$2:$C$48=COUNTIF(Y$21:Y57,"="&amp;Y57)-1
,ROW('Trinômes'!$A$2:$A$48)),COLUMN('Trinômes'!$A$1)-COLUMN('Trinômes'!$A$1)+1)))</f>
        <v>CHABBERT Elio</v>
      </c>
      <c r="AA57" s="1">
        <f t="shared" ref="AA57:AA60" si="28">AA56</f>
        <v>16</v>
      </c>
      <c r="AB57" s="114" t="str">
        <f t="array" ref="AB57">IF(ISERROR(ADDRESS(SUMPRODUCT('Trinômes'!$B$2:$B$48=AA57,'Trinômes'!$C$2:$C$48=COUNTIF(AA$21:AA57,"="&amp;AA57)-1
,ROW('Trinômes'!$A$2:$A$48)),COLUMN('Trinômes'!$A$1)-COLUMN('Trinômes'!$A$1)+1)),"",indirect("Trinômes!"&amp;ADDRESS(SUMPRODUCT('Trinômes'!$B$2:$B$48=AA57,'Trinômes'!$C$2:$C$48=COUNTIF(AA$21:AA57,"="&amp;AA57)-1
,ROW('Trinômes'!$A$2:$A$48)),COLUMN('Trinômes'!$A$1)-COLUMN('Trinômes'!$A$1)+1)))</f>
        <v>LEVER BOYER Nolan</v>
      </c>
    </row>
    <row r="58">
      <c r="A58" s="5" t="str">
        <f>'Créneaux'!E33</f>
        <v>Chimie</v>
      </c>
      <c r="B58" s="30">
        <f>'Créneaux'!F33</f>
        <v>8</v>
      </c>
      <c r="C58" s="101" t="str">
        <f>'Créneaux'!G33</f>
        <v>M. Colin</v>
      </c>
      <c r="D58" s="32" t="str">
        <f>switch('Créneaux'!H33,0,"Lundi",1,"Mardi",2,"Mercredi",3,"Jeudi",4,"Vendredi")</f>
        <v>Mercredi</v>
      </c>
      <c r="E58" s="32" t="str">
        <f>'Créneaux'!I33&amp;"h"</f>
        <v>18h</v>
      </c>
      <c r="F58" s="32" t="str">
        <f>'Créneaux'!J33</f>
        <v>Prépa 24</v>
      </c>
      <c r="G58" s="34" t="str">
        <f>if(sumproduct((Colles!$A$2:$A$97=$A58),(Colles!C$2:C$97=$B58),(Colles!$B$2:$B$97))&gt;0,sumproduct((Colles!$A$2:$A$97=$A58),(Colles!C$2:C$97=$B58),(Colles!$B$2:$B$97)),"")</f>
        <v/>
      </c>
      <c r="H58" s="103">
        <f>if(sumproduct((Colles!$A$2:$A$97=$A58),(Colles!D$2:D$97=$B58),(Colles!$B$2:$B$97))&gt;0,sumproduct((Colles!$A$2:$A$97=$A58),(Colles!D$2:D$97=$B58),(Colles!$B$2:$B$97)),"")</f>
        <v>2</v>
      </c>
      <c r="I58" s="32">
        <f>if(sumproduct((Colles!$A$2:$A$97=$A58),(Colles!E$2:E$97=$B58),(Colles!$B$2:$B$97))&gt;0,sumproduct((Colles!$A$2:$A$97=$A58),(Colles!E$2:E$97=$B58),(Colles!$B$2:$B$97)),"")</f>
        <v>3</v>
      </c>
      <c r="J58" s="103">
        <f>if(sumproduct((Colles!$A$2:$A$97=$A58),(Colles!F$2:F$97=$B58),(Colles!$B$2:$B$97))&gt;0,sumproduct((Colles!$A$2:$A$97=$A58),(Colles!F$2:F$97=$B58),(Colles!$B$2:$B$97)),"")</f>
        <v>8</v>
      </c>
      <c r="K58" s="32">
        <f>if(sumproduct((Colles!$A$2:$A$97=$A58),(Colles!G$2:G$97=$B58),(Colles!$B$2:$B$97))&gt;0,sumproduct((Colles!$A$2:$A$97=$A58),(Colles!G$2:G$97=$B58),(Colles!$B$2:$B$97)),"")</f>
        <v>5</v>
      </c>
      <c r="L58" s="34"/>
      <c r="M58" s="103">
        <f>if(sumproduct((Colles!$A$2:$A$97=$A58),(Colles!I$2:I$97=$B58),(Colles!$B$2:$B$97))&gt;0,sumproduct((Colles!$A$2:$A$97=$A58),(Colles!I$2:I$97=$B58),(Colles!$B$2:$B$97)),"")</f>
        <v>4</v>
      </c>
      <c r="N58" s="32">
        <f>if(sumproduct((Colles!$A$2:$A$97=$A58),(Colles!J$2:J$97=$B58),(Colles!$B$2:$B$97))&gt;0,sumproduct((Colles!$A$2:$A$97=$A58),(Colles!J$2:J$97=$B58),(Colles!$B$2:$B$97)),"")</f>
        <v>1</v>
      </c>
      <c r="O58" s="103">
        <f>if(sumproduct((Colles!$A$2:$A$97=$A58),(Colles!K$2:K$97=$B58),(Colles!$B$2:$B$97))&gt;0,sumproduct((Colles!$A$2:$A$97=$A58),(Colles!K$2:K$97=$B58),(Colles!$B$2:$B$97)),"")</f>
        <v>6</v>
      </c>
      <c r="P58" s="32">
        <f>if(sumproduct((Colles!$A$2:$A$97=$A58),(Colles!L$2:L$97=$B58),(Colles!$B$2:$B$97))&gt;0,sumproduct((Colles!$A$2:$A$97=$A58),(Colles!L$2:L$97=$B58),(Colles!$B$2:$B$97)),"")</f>
        <v>7</v>
      </c>
      <c r="Q58" s="103">
        <f>if(sumproduct((Colles!$A$2:$A$97=$A58),(Colles!M$2:M$97=$B58),(Colles!$B$2:$B$97))&gt;0,sumproduct((Colles!$A$2:$A$97=$A58),(Colles!M$2:M$97=$B58),(Colles!$B$2:$B$97)),"")</f>
        <v>12</v>
      </c>
      <c r="R58" s="32">
        <f>if(sumproduct((Colles!$A$2:$A$97=$A58),(Colles!N$2:N$97=$B58),(Colles!$B$2:$B$97))&gt;0,sumproduct((Colles!$A$2:$A$97=$A58),(Colles!N$2:N$97=$B58),(Colles!$B$2:$B$97)),"")</f>
        <v>13</v>
      </c>
      <c r="S58" s="103">
        <f>if(sumproduct((Colles!$A$2:$A$97=$A58),(Colles!O$2:O$97=$B58),(Colles!$B$2:$B$97))&gt;0,sumproduct((Colles!$A$2:$A$97=$A58),(Colles!O$2:O$97=$B58),(Colles!$B$2:$B$97)),"")</f>
        <v>14</v>
      </c>
      <c r="T58" s="34"/>
      <c r="U58" s="34" t="str">
        <f>if(sumproduct((Colles!$A$2:$A$97=$A58),(Colles!Q$2:Q$97=$B58),(Colles!$B$2:$B$97))&gt;0,sumproduct((Colles!$A$2:$A$97=$A58),(Colles!Q$2:Q$97=$B58),(Colles!$B$2:$B$97)),"")</f>
        <v/>
      </c>
      <c r="V58" s="32">
        <f>if(sumproduct((Colles!$A$2:$A$97=$A58),(Colles!R$2:R$97=$B58),(Colles!$B$2:$B$97))&gt;0,sumproduct((Colles!$A$2:$A$97=$A58),(Colles!R$2:R$97=$B58),(Colles!$B$2:$B$97)),"")</f>
        <v>9</v>
      </c>
      <c r="W58" s="103">
        <f>if(sumproduct((Colles!$A$2:$A$97=$A58),(Colles!S$2:S$97=$B58),(Colles!$B$2:$B$97))&gt;0,sumproduct((Colles!$A$2:$A$97=$A58),(Colles!S$2:S$97=$B58),(Colles!$B$2:$B$97)),"")</f>
        <v>16</v>
      </c>
      <c r="Y58" s="1">
        <f t="shared" si="27"/>
        <v>15</v>
      </c>
      <c r="Z58" s="114" t="str">
        <f t="array" ref="Z58">IF(ISERROR(ADDRESS(SUMPRODUCT('Trinômes'!$B$2:$B$48=Y58,'Trinômes'!$C$2:$C$48=COUNTIF(Y$21:Y58,"="&amp;Y58)-1
,ROW('Trinômes'!$A$2:$A$48)),COLUMN('Trinômes'!$A$1)-COLUMN('Trinômes'!$A$1)+1)),"",indirect("Trinômes!"&amp;ADDRESS(SUMPRODUCT('Trinômes'!$B$2:$B$48=Y58,'Trinômes'!$C$2:$C$48=COUNTIF(Y$21:Y58,"="&amp;Y58)-1
,ROW('Trinômes'!$A$2:$A$48)),COLUMN('Trinômes'!$A$1)-COLUMN('Trinômes'!$A$1)+1)))</f>
        <v>WATTRELOT--LAZAROWICZ Max</v>
      </c>
      <c r="AA58" s="1">
        <f t="shared" si="28"/>
        <v>16</v>
      </c>
      <c r="AB58" s="114" t="str">
        <f t="array" ref="AB58">IF(ISERROR(ADDRESS(SUMPRODUCT('Trinômes'!$B$2:$B$48=AA58,'Trinômes'!$C$2:$C$48=COUNTIF(AA$21:AA58,"="&amp;AA58)-1
,ROW('Trinômes'!$A$2:$A$48)),COLUMN('Trinômes'!$A$1)-COLUMN('Trinômes'!$A$1)+1)),"",indirect("Trinômes!"&amp;ADDRESS(SUMPRODUCT('Trinômes'!$B$2:$B$48=AA58,'Trinômes'!$C$2:$C$48=COUNTIF(AA$21:AA58,"="&amp;AA58)-1
,ROW('Trinômes'!$A$2:$A$48)),COLUMN('Trinômes'!$A$1)-COLUMN('Trinômes'!$A$1)+1)))</f>
        <v>LUCOTTE Louise</v>
      </c>
    </row>
    <row r="59">
      <c r="A59" s="5"/>
      <c r="C59" s="123" t="str">
        <f>A60</f>
        <v>Français</v>
      </c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Y59" s="1">
        <f t="shared" si="27"/>
        <v>15</v>
      </c>
      <c r="Z59" s="114" t="str">
        <f t="array" ref="Z59">IF(ISERROR(ADDRESS(SUMPRODUCT('Trinômes'!$B$2:$B$48=Y59,'Trinômes'!$C$2:$C$48=COUNTIF(Y$21:Y59,"="&amp;Y59)-1
,ROW('Trinômes'!$A$2:$A$48)),COLUMN('Trinômes'!$A$1)-COLUMN('Trinômes'!$A$1)+1)),"",indirect("Trinômes!"&amp;ADDRESS(SUMPRODUCT('Trinômes'!$B$2:$B$48=Y59,'Trinômes'!$C$2:$C$48=COUNTIF(Y$21:Y59,"="&amp;Y59)-1
,ROW('Trinômes'!$A$2:$A$48)),COLUMN('Trinômes'!$A$1)-COLUMN('Trinômes'!$A$1)+1)))</f>
        <v/>
      </c>
      <c r="AA59" s="1">
        <f t="shared" si="28"/>
        <v>16</v>
      </c>
      <c r="AB59" s="114" t="str">
        <f t="array" ref="AB59">IF(ISERROR(ADDRESS(SUMPRODUCT('Trinômes'!$B$2:$B$48=AA59,'Trinômes'!$C$2:$C$48=COUNTIF(AA$21:AA59,"="&amp;AA59)-1
,ROW('Trinômes'!$A$2:$A$48)),COLUMN('Trinômes'!$A$1)-COLUMN('Trinômes'!$A$1)+1)),"",indirect("Trinômes!"&amp;ADDRESS(SUMPRODUCT('Trinômes'!$B$2:$B$48=AA59,'Trinômes'!$C$2:$C$48=COUNTIF(AA$21:AA59,"="&amp;AA59)-1
,ROW('Trinômes'!$A$2:$A$48)),COLUMN('Trinômes'!$A$1)-COLUMN('Trinômes'!$A$1)+1)))</f>
        <v>MINET Blandine</v>
      </c>
    </row>
    <row r="60">
      <c r="A60" s="5" t="str">
        <f>'Créneaux'!E38</f>
        <v>Français</v>
      </c>
      <c r="B60" s="30">
        <f>'Créneaux'!F38</f>
        <v>1</v>
      </c>
      <c r="C60" s="101" t="str">
        <f>'Créneaux'!G38</f>
        <v>Mme Capitani</v>
      </c>
      <c r="D60" s="32" t="str">
        <f>switch('Créneaux'!H38,0,"Lundi",1,"Mardi",2,"Mercredi",3,"Jeudi",4,"Vendredi")</f>
        <v>Vendredi</v>
      </c>
      <c r="E60" s="32" t="str">
        <f>'Créneaux'!I38&amp;"h"</f>
        <v>16h</v>
      </c>
      <c r="F60" s="32" t="str">
        <f>'Créneaux'!J38</f>
        <v>Prépa 23</v>
      </c>
      <c r="G60" s="34" t="str">
        <f>if(sumproduct((Colles!$A$2:$A$97=$A60),(Colles!C$2:C$97=$B60),(Colles!$B$2:$B$97))&gt;0,sumproduct((Colles!$A$2:$A$97=$A60),(Colles!C$2:C$97=$B60),(Colles!$B$2:$B$97)),"")</f>
        <v/>
      </c>
      <c r="H60" s="32">
        <f>if(sumproduct((Colles!$A$2:$A$97=$A60),(Colles!D$2:D$97=$B60),(Colles!$B$2:$B$97))&gt;0,sumproduct((Colles!$A$2:$A$97=$A60),(Colles!D$2:D$97=$B60),(Colles!$B$2:$B$97)),"")</f>
        <v>5</v>
      </c>
      <c r="I60" s="32">
        <f>if(sumproduct((Colles!$A$2:$A$97=$A60),(Colles!E$2:E$97=$B60),(Colles!$B$2:$B$97))&gt;0,sumproduct((Colles!$A$2:$A$97=$A60),(Colles!E$2:E$97=$B60),(Colles!$B$2:$B$97)),"")</f>
        <v>12</v>
      </c>
      <c r="J60" s="32">
        <f>if(sumproduct((Colles!$A$2:$A$97=$A60),(Colles!F$2:F$97=$B60),(Colles!$B$2:$B$97))&gt;0,sumproduct((Colles!$A$2:$A$97=$A60),(Colles!F$2:F$97=$B60),(Colles!$B$2:$B$97)),"")</f>
        <v>1</v>
      </c>
      <c r="K60" s="32">
        <f>if(sumproduct((Colles!$A$2:$A$97=$A60),(Colles!G$2:G$97=$B60),(Colles!$B$2:$B$97))&gt;0,sumproduct((Colles!$A$2:$A$97=$A60),(Colles!G$2:G$97=$B60),(Colles!$B$2:$B$97)),"")</f>
        <v>16</v>
      </c>
      <c r="L60" s="34"/>
      <c r="M60" s="32">
        <f>if(sumproduct((Colles!$A$2:$A$97=$A60),(Colles!I$2:I$97=$B60),(Colles!$B$2:$B$97))&gt;0,sumproduct((Colles!$A$2:$A$97=$A60),(Colles!I$2:I$97=$B60),(Colles!$B$2:$B$97)),"")</f>
        <v>9</v>
      </c>
      <c r="N60" s="32">
        <f>if(sumproduct((Colles!$A$2:$A$97=$A60),(Colles!J$2:J$97=$B60),(Colles!$B$2:$B$97))&gt;0,sumproduct((Colles!$A$2:$A$97=$A60),(Colles!J$2:J$97=$B60),(Colles!$B$2:$B$97)),"")</f>
        <v>14</v>
      </c>
      <c r="O60" s="32">
        <f>if(sumproduct((Colles!$A$2:$A$97=$A60),(Colles!K$2:K$97=$B60),(Colles!$B$2:$B$97))&gt;0,sumproduct((Colles!$A$2:$A$97=$A60),(Colles!K$2:K$97=$B60),(Colles!$B$2:$B$97)),"")</f>
        <v>13</v>
      </c>
      <c r="P60" s="32">
        <f>if(sumproduct((Colles!$A$2:$A$97=$A60),(Colles!L$2:L$97=$B60),(Colles!$B$2:$B$97))&gt;0,sumproduct((Colles!$A$2:$A$97=$A60),(Colles!L$2:L$97=$B60),(Colles!$B$2:$B$97)),"")</f>
        <v>6</v>
      </c>
      <c r="Q60" s="32">
        <f>if(sumproduct((Colles!$A$2:$A$97=$A60),(Colles!M$2:M$97=$B60),(Colles!$B$2:$B$97))&gt;0,sumproduct((Colles!$A$2:$A$97=$A60),(Colles!M$2:M$97=$B60),(Colles!$B$2:$B$97)),"")</f>
        <v>11</v>
      </c>
      <c r="R60" s="32">
        <f>if(sumproduct((Colles!$A$2:$A$97=$A60),(Colles!N$2:N$97=$B60),(Colles!$B$2:$B$97))&gt;0,sumproduct((Colles!$A$2:$A$97=$A60),(Colles!N$2:N$97=$B60),(Colles!$B$2:$B$97)),"")</f>
        <v>12</v>
      </c>
      <c r="S60" s="32">
        <f>if(sumproduct((Colles!$A$2:$A$97=$A60),(Colles!O$2:O$97=$B60),(Colles!$B$2:$B$97))&gt;0,sumproduct((Colles!$A$2:$A$97=$A60),(Colles!O$2:O$97=$B60),(Colles!$B$2:$B$97)),"")</f>
        <v>5</v>
      </c>
      <c r="T60" s="34"/>
      <c r="U60" s="34" t="str">
        <f>if(sumproduct((Colles!$A$2:$A$97=$A60),(Colles!Q$2:Q$97=$B60),(Colles!$B$2:$B$97))&gt;0,sumproduct((Colles!$A$2:$A$97=$A60),(Colles!Q$2:Q$97=$B60),(Colles!$B$2:$B$97)),"")</f>
        <v/>
      </c>
      <c r="V60" s="32">
        <f>if(sumproduct((Colles!$A$2:$A$97=$A60),(Colles!R$2:R$97=$B60),(Colles!$B$2:$B$97))&gt;0,sumproduct((Colles!$A$2:$A$97=$A60),(Colles!R$2:R$97=$B60),(Colles!$B$2:$B$97)),"")</f>
        <v>6</v>
      </c>
      <c r="W60" s="32">
        <f>if(sumproduct((Colles!$A$2:$A$97=$A60),(Colles!S$2:S$97=$B60),(Colles!$B$2:$B$97))&gt;0,sumproduct((Colles!$A$2:$A$97=$A60),(Colles!S$2:S$97=$B60),(Colles!$B$2:$B$97)),"")</f>
        <v>1</v>
      </c>
      <c r="Y60" s="1">
        <f t="shared" si="27"/>
        <v>15</v>
      </c>
      <c r="AA60" s="1">
        <f t="shared" si="28"/>
        <v>16</v>
      </c>
    </row>
    <row r="61">
      <c r="A61" s="5" t="str">
        <f>'Créneaux'!E39</f>
        <v>Français</v>
      </c>
      <c r="B61" s="30">
        <f>'Créneaux'!F39</f>
        <v>2</v>
      </c>
      <c r="C61" s="101" t="str">
        <f>'Créneaux'!G39</f>
        <v>Mme Capitani</v>
      </c>
      <c r="D61" s="32" t="str">
        <f>switch('Créneaux'!H39,0,"Lundi",1,"Mardi",2,"Mercredi",3,"Jeudi",4,"Vendredi")</f>
        <v>Vendredi</v>
      </c>
      <c r="E61" s="32" t="str">
        <f>'Créneaux'!I39&amp;"h"</f>
        <v>17h</v>
      </c>
      <c r="F61" s="32" t="str">
        <f>'Créneaux'!J39</f>
        <v>Prépa 23</v>
      </c>
      <c r="G61" s="34" t="str">
        <f>if(sumproduct((Colles!$A$2:$A$97=$A61),(Colles!C$2:C$97=$B61),(Colles!$B$2:$B$97))&gt;0,sumproduct((Colles!$A$2:$A$97=$A61),(Colles!C$2:C$97=$B61),(Colles!$B$2:$B$97)),"")</f>
        <v/>
      </c>
      <c r="H61" s="32">
        <f>if(sumproduct((Colles!$A$2:$A$97=$A61),(Colles!D$2:D$97=$B61),(Colles!$B$2:$B$97))&gt;0,sumproduct((Colles!$A$2:$A$97=$A61),(Colles!D$2:D$97=$B61),(Colles!$B$2:$B$97)),"")</f>
        <v>7</v>
      </c>
      <c r="I61" s="32">
        <f>if(sumproduct((Colles!$A$2:$A$97=$A61),(Colles!E$2:E$97=$B61),(Colles!$B$2:$B$97))&gt;0,sumproduct((Colles!$A$2:$A$97=$A61),(Colles!E$2:E$97=$B61),(Colles!$B$2:$B$97)),"")</f>
        <v>10</v>
      </c>
      <c r="J61" s="32">
        <f>if(sumproduct((Colles!$A$2:$A$97=$A61),(Colles!F$2:F$97=$B61),(Colles!$B$2:$B$97))&gt;0,sumproduct((Colles!$A$2:$A$97=$A61),(Colles!F$2:F$97=$B61),(Colles!$B$2:$B$97)),"")</f>
        <v>3</v>
      </c>
      <c r="K61" s="32">
        <f>if(sumproduct((Colles!$A$2:$A$97=$A61),(Colles!G$2:G$97=$B61),(Colles!$B$2:$B$97))&gt;0,sumproduct((Colles!$A$2:$A$97=$A61),(Colles!G$2:G$97=$B61),(Colles!$B$2:$B$97)),"")</f>
        <v>4</v>
      </c>
      <c r="L61" s="34"/>
      <c r="M61" s="32">
        <f>if(sumproduct((Colles!$A$2:$A$97=$A61),(Colles!I$2:I$97=$B61),(Colles!$B$2:$B$97))&gt;0,sumproduct((Colles!$A$2:$A$97=$A61),(Colles!I$2:I$97=$B61),(Colles!$B$2:$B$97)),"")</f>
        <v>11</v>
      </c>
      <c r="N61" s="32">
        <f>if(sumproduct((Colles!$A$2:$A$97=$A61),(Colles!J$2:J$97=$B61),(Colles!$B$2:$B$97))&gt;0,sumproduct((Colles!$A$2:$A$97=$A61),(Colles!J$2:J$97=$B61),(Colles!$B$2:$B$97)),"")</f>
        <v>2</v>
      </c>
      <c r="O61" s="32">
        <f>if(sumproduct((Colles!$A$2:$A$97=$A61),(Colles!K$2:K$97=$B61),(Colles!$B$2:$B$97))&gt;0,sumproduct((Colles!$A$2:$A$97=$A61),(Colles!K$2:K$97=$B61),(Colles!$B$2:$B$97)),"")</f>
        <v>15</v>
      </c>
      <c r="P61" s="32">
        <f>if(sumproduct((Colles!$A$2:$A$97=$A61),(Colles!L$2:L$97=$B61),(Colles!$B$2:$B$97))&gt;0,sumproduct((Colles!$A$2:$A$97=$A61),(Colles!L$2:L$97=$B61),(Colles!$B$2:$B$97)),"")</f>
        <v>8</v>
      </c>
      <c r="Q61" s="32">
        <f>if(sumproduct((Colles!$A$2:$A$97=$A61),(Colles!M$2:M$97=$B61),(Colles!$B$2:$B$97))&gt;0,sumproduct((Colles!$A$2:$A$97=$A61),(Colles!M$2:M$97=$B61),(Colles!$B$2:$B$97)),"")</f>
        <v>7</v>
      </c>
      <c r="R61" s="32">
        <f>if(sumproduct((Colles!$A$2:$A$97=$A61),(Colles!N$2:N$97=$B61),(Colles!$B$2:$B$97))&gt;0,sumproduct((Colles!$A$2:$A$97=$A61),(Colles!N$2:N$97=$B61),(Colles!$B$2:$B$97)),"")</f>
        <v>16</v>
      </c>
      <c r="S61" s="32">
        <f>if(sumproduct((Colles!$A$2:$A$97=$A61),(Colles!O$2:O$97=$B61),(Colles!$B$2:$B$97))&gt;0,sumproduct((Colles!$A$2:$A$97=$A61),(Colles!O$2:O$97=$B61),(Colles!$B$2:$B$97)),"")</f>
        <v>9</v>
      </c>
      <c r="T61" s="34"/>
      <c r="U61" s="34" t="str">
        <f>if(sumproduct((Colles!$A$2:$A$97=$A61),(Colles!Q$2:Q$97=$B61),(Colles!$B$2:$B$97))&gt;0,sumproduct((Colles!$A$2:$A$97=$A61),(Colles!Q$2:Q$97=$B61),(Colles!$B$2:$B$97)),"")</f>
        <v/>
      </c>
      <c r="V61" s="32">
        <f>if(sumproduct((Colles!$A$2:$A$97=$A61),(Colles!R$2:R$97=$B61),(Colles!$B$2:$B$97))&gt;0,sumproduct((Colles!$A$2:$A$97=$A61),(Colles!R$2:R$97=$B61),(Colles!$B$2:$B$97)),"")</f>
        <v>8</v>
      </c>
      <c r="W61" s="32">
        <f>if(sumproduct((Colles!$A$2:$A$97=$A61),(Colles!S$2:S$97=$B61),(Colles!$B$2:$B$97))&gt;0,sumproduct((Colles!$A$2:$A$97=$A61),(Colles!S$2:S$97=$B61),(Colles!$B$2:$B$97)),"")</f>
        <v>13</v>
      </c>
    </row>
    <row r="62">
      <c r="D62" s="6"/>
      <c r="E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</row>
    <row r="63">
      <c r="D63" s="6"/>
      <c r="E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</row>
    <row r="64">
      <c r="D64" s="6"/>
      <c r="E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</row>
    <row r="65">
      <c r="D65" s="6"/>
      <c r="E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</row>
    <row r="66">
      <c r="D66" s="6"/>
      <c r="E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</row>
    <row r="67">
      <c r="D67" s="6"/>
      <c r="E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</row>
    <row r="68">
      <c r="D68" s="6"/>
      <c r="E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</row>
    <row r="69">
      <c r="D69" s="6"/>
      <c r="E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</row>
    <row r="70">
      <c r="D70" s="6"/>
      <c r="E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</row>
    <row r="71">
      <c r="D71" s="6"/>
      <c r="E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</row>
    <row r="72">
      <c r="D72" s="6"/>
      <c r="E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</row>
    <row r="73">
      <c r="D73" s="6"/>
      <c r="E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</row>
    <row r="74">
      <c r="D74" s="6"/>
      <c r="E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</row>
    <row r="75">
      <c r="D75" s="6"/>
      <c r="E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</row>
    <row r="76">
      <c r="D76" s="6"/>
      <c r="E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</row>
    <row r="77">
      <c r="D77" s="6"/>
      <c r="E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</row>
    <row r="78">
      <c r="D78" s="6"/>
      <c r="E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</row>
    <row r="79">
      <c r="D79" s="6"/>
      <c r="E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</row>
    <row r="80">
      <c r="D80" s="6"/>
      <c r="E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</row>
    <row r="81">
      <c r="D81" s="6"/>
      <c r="E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</row>
    <row r="82">
      <c r="D82" s="6"/>
      <c r="E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</row>
    <row r="83">
      <c r="D83" s="6"/>
      <c r="E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</row>
    <row r="84">
      <c r="D84" s="6"/>
      <c r="E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</row>
    <row r="85">
      <c r="D85" s="6"/>
      <c r="E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</row>
    <row r="86">
      <c r="D86" s="6"/>
      <c r="E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</row>
    <row r="87">
      <c r="D87" s="6"/>
      <c r="E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</row>
    <row r="88">
      <c r="D88" s="6"/>
      <c r="E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</row>
    <row r="89">
      <c r="D89" s="6"/>
      <c r="E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</row>
    <row r="90">
      <c r="D90" s="6"/>
      <c r="E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</row>
    <row r="91">
      <c r="D91" s="6"/>
      <c r="E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</row>
    <row r="92">
      <c r="D92" s="6"/>
      <c r="E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</row>
    <row r="93">
      <c r="D93" s="6"/>
      <c r="E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</row>
    <row r="94">
      <c r="D94" s="6"/>
      <c r="E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</row>
    <row r="95">
      <c r="D95" s="6"/>
      <c r="E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</row>
    <row r="96">
      <c r="D96" s="6"/>
      <c r="E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</row>
    <row r="97">
      <c r="D97" s="6"/>
      <c r="E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</row>
    <row r="98">
      <c r="D98" s="6"/>
      <c r="E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</row>
    <row r="99">
      <c r="D99" s="6"/>
      <c r="E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</row>
    <row r="100">
      <c r="D100" s="6"/>
      <c r="E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</row>
    <row r="101">
      <c r="D101" s="6"/>
      <c r="E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</row>
    <row r="102">
      <c r="D102" s="6"/>
      <c r="E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</row>
    <row r="103">
      <c r="D103" s="6"/>
      <c r="E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</row>
    <row r="104">
      <c r="D104" s="6"/>
      <c r="E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</row>
    <row r="105">
      <c r="D105" s="6"/>
      <c r="E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</row>
    <row r="106">
      <c r="D106" s="6"/>
      <c r="E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</row>
    <row r="107">
      <c r="D107" s="6"/>
      <c r="E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</row>
    <row r="108">
      <c r="D108" s="6"/>
      <c r="E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</row>
    <row r="109">
      <c r="D109" s="6"/>
      <c r="E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</row>
    <row r="110">
      <c r="D110" s="6"/>
      <c r="E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</row>
    <row r="111">
      <c r="D111" s="6"/>
      <c r="E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</row>
    <row r="112">
      <c r="D112" s="6"/>
      <c r="E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</row>
    <row r="113">
      <c r="D113" s="6"/>
      <c r="E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</row>
    <row r="114">
      <c r="D114" s="6"/>
      <c r="E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</row>
    <row r="115">
      <c r="D115" s="6"/>
      <c r="E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</row>
    <row r="116">
      <c r="D116" s="6"/>
      <c r="E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</row>
    <row r="117">
      <c r="D117" s="6"/>
      <c r="E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</row>
    <row r="118">
      <c r="D118" s="6"/>
      <c r="E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</row>
    <row r="119">
      <c r="D119" s="6"/>
      <c r="E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</row>
    <row r="120">
      <c r="D120" s="6"/>
      <c r="E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</row>
    <row r="121">
      <c r="D121" s="6"/>
      <c r="E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</row>
    <row r="122">
      <c r="D122" s="6"/>
      <c r="E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</row>
    <row r="123">
      <c r="D123" s="6"/>
      <c r="E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</row>
    <row r="124">
      <c r="D124" s="6"/>
      <c r="E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</row>
    <row r="125">
      <c r="D125" s="6"/>
      <c r="E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</row>
    <row r="126">
      <c r="D126" s="6"/>
      <c r="E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</row>
    <row r="127">
      <c r="D127" s="6"/>
      <c r="E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</row>
    <row r="128">
      <c r="D128" s="6"/>
      <c r="E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</row>
    <row r="129">
      <c r="D129" s="6"/>
      <c r="E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</row>
    <row r="130">
      <c r="D130" s="6"/>
      <c r="E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</row>
    <row r="131">
      <c r="D131" s="6"/>
      <c r="E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</row>
    <row r="132">
      <c r="D132" s="6"/>
      <c r="E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</row>
    <row r="133">
      <c r="D133" s="6"/>
      <c r="E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</row>
    <row r="134">
      <c r="D134" s="6"/>
      <c r="E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</row>
    <row r="135">
      <c r="D135" s="6"/>
      <c r="E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</row>
    <row r="136">
      <c r="D136" s="6"/>
      <c r="E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</row>
    <row r="137">
      <c r="D137" s="6"/>
      <c r="E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</row>
    <row r="138">
      <c r="D138" s="6"/>
      <c r="E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</row>
    <row r="139">
      <c r="D139" s="6"/>
      <c r="E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</row>
    <row r="140">
      <c r="D140" s="6"/>
      <c r="E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</row>
    <row r="141">
      <c r="D141" s="6"/>
      <c r="E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</row>
    <row r="142">
      <c r="D142" s="6"/>
      <c r="E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</row>
    <row r="143">
      <c r="D143" s="6"/>
      <c r="E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</row>
    <row r="144">
      <c r="D144" s="6"/>
      <c r="E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</row>
    <row r="145">
      <c r="D145" s="6"/>
      <c r="E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</row>
    <row r="146">
      <c r="D146" s="6"/>
      <c r="E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</row>
    <row r="147">
      <c r="D147" s="6"/>
      <c r="E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</row>
    <row r="148">
      <c r="D148" s="6"/>
      <c r="E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</row>
    <row r="149">
      <c r="D149" s="6"/>
      <c r="E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</row>
    <row r="150">
      <c r="D150" s="6"/>
      <c r="E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</row>
    <row r="151">
      <c r="D151" s="6"/>
      <c r="E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</row>
    <row r="152">
      <c r="D152" s="6"/>
      <c r="E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</row>
    <row r="153">
      <c r="D153" s="6"/>
      <c r="E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</row>
    <row r="154">
      <c r="D154" s="6"/>
      <c r="E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</row>
    <row r="155">
      <c r="D155" s="6"/>
      <c r="E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</row>
    <row r="156">
      <c r="D156" s="6"/>
      <c r="E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</row>
    <row r="157">
      <c r="D157" s="6"/>
      <c r="E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</row>
    <row r="158">
      <c r="D158" s="6"/>
      <c r="E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</row>
    <row r="159">
      <c r="D159" s="6"/>
      <c r="E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</row>
    <row r="160">
      <c r="D160" s="6"/>
      <c r="E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</row>
    <row r="161">
      <c r="D161" s="6"/>
      <c r="E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</row>
    <row r="162">
      <c r="D162" s="6"/>
      <c r="E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</row>
    <row r="163">
      <c r="D163" s="6"/>
      <c r="E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</row>
    <row r="164">
      <c r="D164" s="6"/>
      <c r="E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</row>
    <row r="165">
      <c r="D165" s="6"/>
      <c r="E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</row>
    <row r="166">
      <c r="D166" s="6"/>
      <c r="E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</row>
    <row r="167">
      <c r="D167" s="6"/>
      <c r="E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</row>
    <row r="168">
      <c r="D168" s="6"/>
      <c r="E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</row>
    <row r="169">
      <c r="D169" s="6"/>
      <c r="E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</row>
    <row r="170">
      <c r="D170" s="6"/>
      <c r="E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</row>
    <row r="171">
      <c r="D171" s="6"/>
      <c r="E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</row>
    <row r="172">
      <c r="D172" s="6"/>
      <c r="E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</row>
    <row r="173">
      <c r="D173" s="6"/>
      <c r="E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</row>
    <row r="174">
      <c r="D174" s="6"/>
      <c r="E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</row>
    <row r="175">
      <c r="D175" s="6"/>
      <c r="E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</row>
    <row r="176">
      <c r="D176" s="6"/>
      <c r="E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</row>
    <row r="177">
      <c r="D177" s="6"/>
      <c r="E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</row>
    <row r="178">
      <c r="D178" s="6"/>
      <c r="E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</row>
    <row r="179">
      <c r="D179" s="6"/>
      <c r="E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</row>
    <row r="180">
      <c r="D180" s="6"/>
      <c r="E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</row>
    <row r="181">
      <c r="D181" s="6"/>
      <c r="E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</row>
    <row r="182">
      <c r="D182" s="6"/>
      <c r="E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</row>
    <row r="183">
      <c r="D183" s="6"/>
      <c r="E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</row>
    <row r="184">
      <c r="D184" s="6"/>
      <c r="E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</row>
    <row r="185">
      <c r="D185" s="6"/>
      <c r="E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</row>
    <row r="186">
      <c r="D186" s="6"/>
      <c r="E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</row>
    <row r="187">
      <c r="D187" s="6"/>
      <c r="E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</row>
    <row r="188">
      <c r="D188" s="6"/>
      <c r="E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</row>
    <row r="189">
      <c r="D189" s="6"/>
      <c r="E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</row>
    <row r="190">
      <c r="D190" s="6"/>
      <c r="E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</row>
    <row r="191">
      <c r="D191" s="6"/>
      <c r="E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</row>
    <row r="192">
      <c r="D192" s="6"/>
      <c r="E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</row>
    <row r="193">
      <c r="D193" s="6"/>
      <c r="E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</row>
    <row r="194">
      <c r="D194" s="6"/>
      <c r="E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</row>
    <row r="195">
      <c r="D195" s="6"/>
      <c r="E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</row>
    <row r="196">
      <c r="D196" s="6"/>
      <c r="E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</row>
    <row r="197">
      <c r="D197" s="6"/>
      <c r="E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</row>
    <row r="198">
      <c r="D198" s="6"/>
      <c r="E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</row>
    <row r="199">
      <c r="D199" s="6"/>
      <c r="E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</row>
    <row r="200">
      <c r="D200" s="6"/>
      <c r="E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</row>
    <row r="201">
      <c r="D201" s="6"/>
      <c r="E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</row>
    <row r="202">
      <c r="D202" s="6"/>
      <c r="E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</row>
    <row r="203">
      <c r="D203" s="6"/>
      <c r="E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</row>
    <row r="204">
      <c r="D204" s="6"/>
      <c r="E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</row>
    <row r="205">
      <c r="D205" s="6"/>
      <c r="E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</row>
    <row r="206">
      <c r="D206" s="6"/>
      <c r="E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</row>
    <row r="207">
      <c r="D207" s="6"/>
      <c r="E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</row>
    <row r="208">
      <c r="D208" s="6"/>
      <c r="E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</row>
    <row r="209">
      <c r="D209" s="6"/>
      <c r="E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</row>
    <row r="210">
      <c r="D210" s="6"/>
      <c r="E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</row>
    <row r="211">
      <c r="D211" s="6"/>
      <c r="E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</row>
    <row r="212">
      <c r="D212" s="6"/>
      <c r="E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</row>
    <row r="213">
      <c r="D213" s="6"/>
      <c r="E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</row>
    <row r="214">
      <c r="D214" s="6"/>
      <c r="E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</row>
    <row r="215">
      <c r="D215" s="6"/>
      <c r="E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</row>
    <row r="216">
      <c r="D216" s="6"/>
      <c r="E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</row>
    <row r="217">
      <c r="D217" s="6"/>
      <c r="E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</row>
    <row r="218">
      <c r="D218" s="6"/>
      <c r="E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</row>
    <row r="219">
      <c r="D219" s="6"/>
      <c r="E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</row>
    <row r="220">
      <c r="D220" s="6"/>
      <c r="E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</row>
    <row r="221">
      <c r="D221" s="6"/>
      <c r="E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</row>
    <row r="222">
      <c r="D222" s="6"/>
      <c r="E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</row>
    <row r="223">
      <c r="D223" s="6"/>
      <c r="E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</row>
    <row r="224">
      <c r="D224" s="6"/>
      <c r="E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</row>
    <row r="225">
      <c r="D225" s="6"/>
      <c r="E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</row>
    <row r="226">
      <c r="D226" s="6"/>
      <c r="E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</row>
    <row r="227">
      <c r="D227" s="6"/>
      <c r="E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</row>
    <row r="228">
      <c r="D228" s="6"/>
      <c r="E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</row>
    <row r="229">
      <c r="D229" s="6"/>
      <c r="E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</row>
    <row r="230">
      <c r="D230" s="6"/>
      <c r="E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</row>
    <row r="231">
      <c r="D231" s="6"/>
      <c r="E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</row>
    <row r="232">
      <c r="D232" s="6"/>
      <c r="E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</row>
    <row r="233">
      <c r="D233" s="6"/>
      <c r="E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</row>
    <row r="234">
      <c r="D234" s="6"/>
      <c r="E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</row>
    <row r="235">
      <c r="D235" s="6"/>
      <c r="E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</row>
    <row r="236">
      <c r="D236" s="6"/>
      <c r="E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</row>
    <row r="237">
      <c r="D237" s="6"/>
      <c r="E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</row>
    <row r="238">
      <c r="D238" s="6"/>
      <c r="E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</row>
    <row r="239">
      <c r="D239" s="6"/>
      <c r="E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</row>
    <row r="240">
      <c r="D240" s="6"/>
      <c r="E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</row>
    <row r="241">
      <c r="D241" s="6"/>
      <c r="E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</row>
    <row r="242">
      <c r="D242" s="6"/>
      <c r="E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</row>
    <row r="243">
      <c r="D243" s="6"/>
      <c r="E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</row>
    <row r="244">
      <c r="D244" s="6"/>
      <c r="E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</row>
    <row r="245">
      <c r="D245" s="6"/>
      <c r="E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</row>
    <row r="246">
      <c r="D246" s="6"/>
      <c r="E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</row>
    <row r="247">
      <c r="D247" s="6"/>
      <c r="E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</row>
    <row r="248">
      <c r="D248" s="6"/>
      <c r="E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</row>
    <row r="249">
      <c r="D249" s="6"/>
      <c r="E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</row>
    <row r="250">
      <c r="D250" s="6"/>
      <c r="E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</row>
    <row r="251">
      <c r="D251" s="6"/>
      <c r="E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</row>
    <row r="252">
      <c r="D252" s="6"/>
      <c r="E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</row>
    <row r="253">
      <c r="D253" s="6"/>
      <c r="E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</row>
    <row r="254">
      <c r="D254" s="6"/>
      <c r="E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</row>
    <row r="255">
      <c r="D255" s="6"/>
      <c r="E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</row>
    <row r="256">
      <c r="D256" s="6"/>
      <c r="E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</row>
    <row r="257">
      <c r="D257" s="6"/>
      <c r="E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</row>
    <row r="258">
      <c r="D258" s="6"/>
      <c r="E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</row>
    <row r="259">
      <c r="D259" s="6"/>
      <c r="E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</row>
    <row r="260">
      <c r="D260" s="6"/>
      <c r="E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</row>
    <row r="261">
      <c r="D261" s="6"/>
      <c r="E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</row>
    <row r="262">
      <c r="D262" s="6"/>
      <c r="E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</row>
    <row r="263">
      <c r="D263" s="6"/>
      <c r="E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</row>
    <row r="264">
      <c r="D264" s="6"/>
      <c r="E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</row>
    <row r="265">
      <c r="D265" s="6"/>
      <c r="E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</row>
    <row r="266">
      <c r="D266" s="6"/>
      <c r="E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</row>
    <row r="267">
      <c r="D267" s="6"/>
      <c r="E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</row>
    <row r="268">
      <c r="D268" s="6"/>
      <c r="E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</row>
    <row r="269">
      <c r="D269" s="6"/>
      <c r="E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</row>
    <row r="270">
      <c r="D270" s="6"/>
      <c r="E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</row>
    <row r="271">
      <c r="D271" s="6"/>
      <c r="E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</row>
    <row r="272">
      <c r="D272" s="6"/>
      <c r="E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</row>
    <row r="273">
      <c r="D273" s="6"/>
      <c r="E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</row>
    <row r="274">
      <c r="D274" s="6"/>
      <c r="E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</row>
    <row r="275">
      <c r="D275" s="6"/>
      <c r="E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</row>
    <row r="276">
      <c r="D276" s="6"/>
      <c r="E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</row>
    <row r="277">
      <c r="D277" s="6"/>
      <c r="E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</row>
    <row r="278">
      <c r="D278" s="6"/>
      <c r="E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</row>
    <row r="279">
      <c r="D279" s="6"/>
      <c r="E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</row>
    <row r="280">
      <c r="D280" s="6"/>
      <c r="E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</row>
    <row r="281">
      <c r="D281" s="6"/>
      <c r="E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</row>
    <row r="282">
      <c r="D282" s="6"/>
      <c r="E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</row>
    <row r="283">
      <c r="D283" s="6"/>
      <c r="E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</row>
    <row r="284">
      <c r="D284" s="6"/>
      <c r="E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</row>
    <row r="285">
      <c r="D285" s="6"/>
      <c r="E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</row>
    <row r="286">
      <c r="D286" s="6"/>
      <c r="E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</row>
    <row r="287">
      <c r="D287" s="6"/>
      <c r="E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</row>
    <row r="288">
      <c r="D288" s="6"/>
      <c r="E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</row>
    <row r="289">
      <c r="D289" s="6"/>
      <c r="E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</row>
    <row r="290">
      <c r="D290" s="6"/>
      <c r="E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</row>
    <row r="291">
      <c r="D291" s="6"/>
      <c r="E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</row>
    <row r="292">
      <c r="D292" s="6"/>
      <c r="E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</row>
    <row r="293">
      <c r="D293" s="6"/>
      <c r="E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</row>
    <row r="294">
      <c r="D294" s="6"/>
      <c r="E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</row>
    <row r="295">
      <c r="D295" s="6"/>
      <c r="E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</row>
    <row r="296">
      <c r="D296" s="6"/>
      <c r="E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</row>
    <row r="297">
      <c r="D297" s="6"/>
      <c r="E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</row>
    <row r="298">
      <c r="D298" s="6"/>
      <c r="E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</row>
    <row r="299">
      <c r="D299" s="6"/>
      <c r="E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</row>
    <row r="300">
      <c r="D300" s="6"/>
      <c r="E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</row>
    <row r="301">
      <c r="D301" s="6"/>
      <c r="E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</row>
    <row r="302">
      <c r="D302" s="6"/>
      <c r="E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</row>
    <row r="303">
      <c r="D303" s="6"/>
      <c r="E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</row>
    <row r="304">
      <c r="D304" s="6"/>
      <c r="E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</row>
    <row r="305">
      <c r="D305" s="6"/>
      <c r="E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</row>
    <row r="306">
      <c r="D306" s="6"/>
      <c r="E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</row>
    <row r="307">
      <c r="D307" s="6"/>
      <c r="E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</row>
    <row r="308">
      <c r="D308" s="6"/>
      <c r="E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</row>
    <row r="309">
      <c r="D309" s="6"/>
      <c r="E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</row>
    <row r="310">
      <c r="D310" s="6"/>
      <c r="E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</row>
    <row r="311">
      <c r="D311" s="6"/>
      <c r="E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</row>
    <row r="312">
      <c r="D312" s="6"/>
      <c r="E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</row>
    <row r="313">
      <c r="D313" s="6"/>
      <c r="E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</row>
    <row r="314">
      <c r="D314" s="6"/>
      <c r="E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</row>
    <row r="315">
      <c r="D315" s="6"/>
      <c r="E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</row>
    <row r="316">
      <c r="D316" s="6"/>
      <c r="E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</row>
    <row r="317">
      <c r="D317" s="6"/>
      <c r="E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</row>
    <row r="318">
      <c r="D318" s="6"/>
      <c r="E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</row>
    <row r="319">
      <c r="D319" s="6"/>
      <c r="E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</row>
    <row r="320">
      <c r="D320" s="6"/>
      <c r="E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</row>
    <row r="321">
      <c r="D321" s="6"/>
      <c r="E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</row>
    <row r="322">
      <c r="D322" s="6"/>
      <c r="E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</row>
    <row r="323">
      <c r="D323" s="6"/>
      <c r="E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</row>
    <row r="324">
      <c r="D324" s="6"/>
      <c r="E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</row>
    <row r="325">
      <c r="D325" s="6"/>
      <c r="E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</row>
    <row r="326">
      <c r="D326" s="6"/>
      <c r="E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</row>
    <row r="327">
      <c r="D327" s="6"/>
      <c r="E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</row>
    <row r="328">
      <c r="D328" s="6"/>
      <c r="E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</row>
    <row r="329">
      <c r="D329" s="6"/>
      <c r="E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</row>
    <row r="330">
      <c r="D330" s="6"/>
      <c r="E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</row>
    <row r="331">
      <c r="D331" s="6"/>
      <c r="E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</row>
    <row r="332">
      <c r="D332" s="6"/>
      <c r="E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</row>
    <row r="333">
      <c r="D333" s="6"/>
      <c r="E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</row>
    <row r="334">
      <c r="D334" s="6"/>
      <c r="E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</row>
    <row r="335">
      <c r="D335" s="6"/>
      <c r="E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</row>
    <row r="336">
      <c r="D336" s="6"/>
      <c r="E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</row>
    <row r="337">
      <c r="D337" s="6"/>
      <c r="E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</row>
    <row r="338">
      <c r="D338" s="6"/>
      <c r="E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</row>
    <row r="339">
      <c r="D339" s="6"/>
      <c r="E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</row>
    <row r="340">
      <c r="D340" s="6"/>
      <c r="E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</row>
    <row r="341">
      <c r="D341" s="6"/>
      <c r="E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</row>
    <row r="342">
      <c r="D342" s="6"/>
      <c r="E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</row>
    <row r="343">
      <c r="D343" s="6"/>
      <c r="E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</row>
    <row r="344">
      <c r="D344" s="6"/>
      <c r="E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</row>
    <row r="345">
      <c r="D345" s="6"/>
      <c r="E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</row>
    <row r="346">
      <c r="D346" s="6"/>
      <c r="E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</row>
    <row r="347">
      <c r="D347" s="6"/>
      <c r="E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</row>
    <row r="348">
      <c r="D348" s="6"/>
      <c r="E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</row>
    <row r="349">
      <c r="D349" s="6"/>
      <c r="E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</row>
    <row r="350">
      <c r="D350" s="6"/>
      <c r="E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</row>
    <row r="351">
      <c r="D351" s="6"/>
      <c r="E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</row>
    <row r="352">
      <c r="D352" s="6"/>
      <c r="E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</row>
    <row r="353">
      <c r="D353" s="6"/>
      <c r="E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</row>
    <row r="354">
      <c r="D354" s="6"/>
      <c r="E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</row>
    <row r="355">
      <c r="D355" s="6"/>
      <c r="E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</row>
    <row r="356">
      <c r="D356" s="6"/>
      <c r="E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</row>
    <row r="357">
      <c r="D357" s="6"/>
      <c r="E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</row>
    <row r="358">
      <c r="D358" s="6"/>
      <c r="E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</row>
    <row r="359">
      <c r="D359" s="6"/>
      <c r="E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</row>
    <row r="360">
      <c r="D360" s="6"/>
      <c r="E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</row>
    <row r="361">
      <c r="D361" s="6"/>
      <c r="E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</row>
    <row r="362">
      <c r="D362" s="6"/>
      <c r="E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</row>
    <row r="363">
      <c r="D363" s="6"/>
      <c r="E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</row>
    <row r="364">
      <c r="D364" s="6"/>
      <c r="E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</row>
    <row r="365">
      <c r="D365" s="6"/>
      <c r="E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</row>
    <row r="366">
      <c r="D366" s="6"/>
      <c r="E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</row>
    <row r="367">
      <c r="D367" s="6"/>
      <c r="E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</row>
    <row r="368">
      <c r="D368" s="6"/>
      <c r="E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</row>
    <row r="369">
      <c r="D369" s="6"/>
      <c r="E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</row>
    <row r="370">
      <c r="D370" s="6"/>
      <c r="E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</row>
    <row r="371">
      <c r="D371" s="6"/>
      <c r="E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</row>
    <row r="372">
      <c r="D372" s="6"/>
      <c r="E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</row>
    <row r="373">
      <c r="D373" s="6"/>
      <c r="E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</row>
    <row r="374">
      <c r="D374" s="6"/>
      <c r="E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</row>
    <row r="375">
      <c r="D375" s="6"/>
      <c r="E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</row>
    <row r="376">
      <c r="D376" s="6"/>
      <c r="E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</row>
    <row r="377">
      <c r="D377" s="6"/>
      <c r="E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</row>
    <row r="378">
      <c r="D378" s="6"/>
      <c r="E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</row>
    <row r="379">
      <c r="D379" s="6"/>
      <c r="E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</row>
    <row r="380">
      <c r="D380" s="6"/>
      <c r="E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</row>
    <row r="381">
      <c r="D381" s="6"/>
      <c r="E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</row>
    <row r="382">
      <c r="D382" s="6"/>
      <c r="E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</row>
    <row r="383">
      <c r="D383" s="6"/>
      <c r="E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</row>
    <row r="384">
      <c r="D384" s="6"/>
      <c r="E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</row>
    <row r="385">
      <c r="D385" s="6"/>
      <c r="E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</row>
    <row r="386">
      <c r="D386" s="6"/>
      <c r="E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</row>
    <row r="387">
      <c r="D387" s="6"/>
      <c r="E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</row>
    <row r="388">
      <c r="D388" s="6"/>
      <c r="E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</row>
    <row r="389">
      <c r="D389" s="6"/>
      <c r="E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</row>
    <row r="390">
      <c r="D390" s="6"/>
      <c r="E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</row>
    <row r="391">
      <c r="D391" s="6"/>
      <c r="E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</row>
    <row r="392">
      <c r="D392" s="6"/>
      <c r="E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</row>
    <row r="393">
      <c r="D393" s="6"/>
      <c r="E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</row>
    <row r="394">
      <c r="D394" s="6"/>
      <c r="E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</row>
    <row r="395">
      <c r="D395" s="6"/>
      <c r="E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</row>
    <row r="396">
      <c r="D396" s="6"/>
      <c r="E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</row>
    <row r="397">
      <c r="D397" s="6"/>
      <c r="E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</row>
    <row r="398">
      <c r="D398" s="6"/>
      <c r="E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</row>
    <row r="399">
      <c r="D399" s="6"/>
      <c r="E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</row>
    <row r="400">
      <c r="D400" s="6"/>
      <c r="E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</row>
    <row r="401">
      <c r="D401" s="6"/>
      <c r="E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</row>
    <row r="402">
      <c r="D402" s="6"/>
      <c r="E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</row>
    <row r="403">
      <c r="D403" s="6"/>
      <c r="E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</row>
    <row r="404">
      <c r="D404" s="6"/>
      <c r="E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</row>
    <row r="405">
      <c r="D405" s="6"/>
      <c r="E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</row>
    <row r="406">
      <c r="D406" s="6"/>
      <c r="E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</row>
    <row r="407">
      <c r="D407" s="6"/>
      <c r="E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</row>
    <row r="408">
      <c r="D408" s="6"/>
      <c r="E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</row>
    <row r="409">
      <c r="D409" s="6"/>
      <c r="E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</row>
    <row r="410">
      <c r="D410" s="6"/>
      <c r="E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</row>
    <row r="411">
      <c r="D411" s="6"/>
      <c r="E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</row>
    <row r="412">
      <c r="D412" s="6"/>
      <c r="E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</row>
    <row r="413">
      <c r="D413" s="6"/>
      <c r="E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</row>
    <row r="414">
      <c r="D414" s="6"/>
      <c r="E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</row>
    <row r="415">
      <c r="D415" s="6"/>
      <c r="E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</row>
    <row r="416">
      <c r="D416" s="6"/>
      <c r="E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</row>
    <row r="417">
      <c r="D417" s="6"/>
      <c r="E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</row>
    <row r="418">
      <c r="D418" s="6"/>
      <c r="E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</row>
    <row r="419">
      <c r="D419" s="6"/>
      <c r="E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</row>
    <row r="420">
      <c r="D420" s="6"/>
      <c r="E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</row>
    <row r="421">
      <c r="D421" s="6"/>
      <c r="E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</row>
    <row r="422">
      <c r="D422" s="6"/>
      <c r="E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</row>
    <row r="423">
      <c r="D423" s="6"/>
      <c r="E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</row>
    <row r="424">
      <c r="D424" s="6"/>
      <c r="E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</row>
    <row r="425">
      <c r="D425" s="6"/>
      <c r="E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</row>
    <row r="426">
      <c r="D426" s="6"/>
      <c r="E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</row>
    <row r="427">
      <c r="D427" s="6"/>
      <c r="E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</row>
    <row r="428">
      <c r="D428" s="6"/>
      <c r="E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</row>
    <row r="429">
      <c r="D429" s="6"/>
      <c r="E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</row>
    <row r="430">
      <c r="D430" s="6"/>
      <c r="E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</row>
    <row r="431">
      <c r="D431" s="6"/>
      <c r="E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</row>
    <row r="432">
      <c r="D432" s="6"/>
      <c r="E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</row>
    <row r="433">
      <c r="D433" s="6"/>
      <c r="E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</row>
    <row r="434">
      <c r="D434" s="6"/>
      <c r="E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</row>
    <row r="435">
      <c r="D435" s="6"/>
      <c r="E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</row>
    <row r="436">
      <c r="D436" s="6"/>
      <c r="E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</row>
    <row r="437">
      <c r="D437" s="6"/>
      <c r="E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</row>
    <row r="438">
      <c r="D438" s="6"/>
      <c r="E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</row>
    <row r="439">
      <c r="D439" s="6"/>
      <c r="E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</row>
    <row r="440">
      <c r="D440" s="6"/>
      <c r="E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</row>
    <row r="441">
      <c r="D441" s="6"/>
      <c r="E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</row>
    <row r="442">
      <c r="D442" s="6"/>
      <c r="E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</row>
    <row r="443">
      <c r="D443" s="6"/>
      <c r="E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</row>
    <row r="444">
      <c r="D444" s="6"/>
      <c r="E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</row>
    <row r="445">
      <c r="D445" s="6"/>
      <c r="E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</row>
    <row r="446">
      <c r="D446" s="6"/>
      <c r="E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</row>
    <row r="447">
      <c r="D447" s="6"/>
      <c r="E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</row>
    <row r="448">
      <c r="D448" s="6"/>
      <c r="E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</row>
    <row r="449">
      <c r="D449" s="6"/>
      <c r="E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</row>
    <row r="450">
      <c r="D450" s="6"/>
      <c r="E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</row>
    <row r="451">
      <c r="D451" s="6"/>
      <c r="E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</row>
    <row r="452">
      <c r="D452" s="6"/>
      <c r="E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</row>
    <row r="453">
      <c r="D453" s="6"/>
      <c r="E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</row>
    <row r="454">
      <c r="D454" s="6"/>
      <c r="E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</row>
    <row r="455">
      <c r="D455" s="6"/>
      <c r="E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</row>
    <row r="456">
      <c r="D456" s="6"/>
      <c r="E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</row>
    <row r="457">
      <c r="D457" s="6"/>
      <c r="E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</row>
    <row r="458">
      <c r="D458" s="6"/>
      <c r="E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</row>
    <row r="459">
      <c r="D459" s="6"/>
      <c r="E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</row>
    <row r="460">
      <c r="D460" s="6"/>
      <c r="E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</row>
    <row r="461">
      <c r="D461" s="6"/>
      <c r="E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</row>
    <row r="462">
      <c r="D462" s="6"/>
      <c r="E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</row>
    <row r="463">
      <c r="D463" s="6"/>
      <c r="E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</row>
    <row r="464">
      <c r="D464" s="6"/>
      <c r="E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</row>
    <row r="465">
      <c r="D465" s="6"/>
      <c r="E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</row>
    <row r="466">
      <c r="D466" s="6"/>
      <c r="E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</row>
    <row r="467">
      <c r="D467" s="6"/>
      <c r="E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</row>
    <row r="468">
      <c r="D468" s="6"/>
      <c r="E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</row>
    <row r="469">
      <c r="D469" s="6"/>
      <c r="E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</row>
    <row r="470">
      <c r="D470" s="6"/>
      <c r="E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</row>
    <row r="471">
      <c r="D471" s="6"/>
      <c r="E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</row>
    <row r="472">
      <c r="D472" s="6"/>
      <c r="E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</row>
    <row r="473">
      <c r="D473" s="6"/>
      <c r="E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</row>
    <row r="474">
      <c r="D474" s="6"/>
      <c r="E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</row>
    <row r="475">
      <c r="D475" s="6"/>
      <c r="E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</row>
    <row r="476">
      <c r="D476" s="6"/>
      <c r="E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</row>
    <row r="477">
      <c r="D477" s="6"/>
      <c r="E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</row>
    <row r="478">
      <c r="D478" s="6"/>
      <c r="E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</row>
    <row r="479">
      <c r="D479" s="6"/>
      <c r="E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</row>
    <row r="480">
      <c r="D480" s="6"/>
      <c r="E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</row>
    <row r="481">
      <c r="D481" s="6"/>
      <c r="E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</row>
    <row r="482">
      <c r="D482" s="6"/>
      <c r="E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</row>
    <row r="483">
      <c r="D483" s="6"/>
      <c r="E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</row>
    <row r="484">
      <c r="D484" s="6"/>
      <c r="E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</row>
    <row r="485">
      <c r="D485" s="6"/>
      <c r="E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</row>
    <row r="486">
      <c r="D486" s="6"/>
      <c r="E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</row>
    <row r="487">
      <c r="D487" s="6"/>
      <c r="E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</row>
    <row r="488">
      <c r="D488" s="6"/>
      <c r="E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</row>
    <row r="489">
      <c r="D489" s="6"/>
      <c r="E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</row>
    <row r="490">
      <c r="D490" s="6"/>
      <c r="E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</row>
    <row r="491">
      <c r="D491" s="6"/>
      <c r="E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</row>
    <row r="492">
      <c r="D492" s="6"/>
      <c r="E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</row>
    <row r="493">
      <c r="D493" s="6"/>
      <c r="E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</row>
    <row r="494">
      <c r="D494" s="6"/>
      <c r="E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</row>
    <row r="495">
      <c r="D495" s="6"/>
      <c r="E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</row>
    <row r="496">
      <c r="D496" s="6"/>
      <c r="E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</row>
    <row r="497">
      <c r="D497" s="6"/>
      <c r="E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</row>
    <row r="498">
      <c r="D498" s="6"/>
      <c r="E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</row>
    <row r="499">
      <c r="D499" s="6"/>
      <c r="E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</row>
    <row r="500">
      <c r="D500" s="6"/>
      <c r="E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</row>
    <row r="501">
      <c r="D501" s="6"/>
      <c r="E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</row>
    <row r="502">
      <c r="D502" s="6"/>
      <c r="E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</row>
    <row r="503">
      <c r="D503" s="6"/>
      <c r="E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</row>
    <row r="504">
      <c r="D504" s="6"/>
      <c r="E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</row>
    <row r="505">
      <c r="D505" s="6"/>
      <c r="E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</row>
    <row r="506">
      <c r="D506" s="6"/>
      <c r="E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</row>
    <row r="507">
      <c r="D507" s="6"/>
      <c r="E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</row>
    <row r="508">
      <c r="D508" s="6"/>
      <c r="E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</row>
    <row r="509">
      <c r="D509" s="6"/>
      <c r="E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</row>
    <row r="510">
      <c r="D510" s="6"/>
      <c r="E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</row>
    <row r="511">
      <c r="D511" s="6"/>
      <c r="E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</row>
    <row r="512">
      <c r="D512" s="6"/>
      <c r="E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</row>
    <row r="513">
      <c r="D513" s="6"/>
      <c r="E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</row>
    <row r="514">
      <c r="D514" s="6"/>
      <c r="E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</row>
    <row r="515">
      <c r="D515" s="6"/>
      <c r="E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</row>
    <row r="516">
      <c r="D516" s="6"/>
      <c r="E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</row>
    <row r="517">
      <c r="D517" s="6"/>
      <c r="E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</row>
    <row r="518">
      <c r="D518" s="6"/>
      <c r="E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</row>
    <row r="519">
      <c r="D519" s="6"/>
      <c r="E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</row>
    <row r="520">
      <c r="D520" s="6"/>
      <c r="E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</row>
    <row r="521">
      <c r="D521" s="6"/>
      <c r="E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</row>
    <row r="522">
      <c r="D522" s="6"/>
      <c r="E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</row>
    <row r="523">
      <c r="D523" s="6"/>
      <c r="E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</row>
    <row r="524">
      <c r="D524" s="6"/>
      <c r="E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</row>
    <row r="525">
      <c r="D525" s="6"/>
      <c r="E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</row>
    <row r="526">
      <c r="D526" s="6"/>
      <c r="E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</row>
    <row r="527">
      <c r="D527" s="6"/>
      <c r="E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</row>
    <row r="528">
      <c r="D528" s="6"/>
      <c r="E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</row>
    <row r="529">
      <c r="D529" s="6"/>
      <c r="E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</row>
    <row r="530">
      <c r="D530" s="6"/>
      <c r="E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</row>
    <row r="531">
      <c r="D531" s="6"/>
      <c r="E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</row>
    <row r="532">
      <c r="D532" s="6"/>
      <c r="E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</row>
    <row r="533">
      <c r="D533" s="6"/>
      <c r="E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</row>
    <row r="534">
      <c r="D534" s="6"/>
      <c r="E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</row>
    <row r="535">
      <c r="D535" s="6"/>
      <c r="E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</row>
    <row r="536">
      <c r="D536" s="6"/>
      <c r="E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</row>
    <row r="537">
      <c r="D537" s="6"/>
      <c r="E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</row>
    <row r="538">
      <c r="D538" s="6"/>
      <c r="E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</row>
    <row r="539">
      <c r="D539" s="6"/>
      <c r="E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</row>
    <row r="540">
      <c r="D540" s="6"/>
      <c r="E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</row>
    <row r="541">
      <c r="D541" s="6"/>
      <c r="E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</row>
    <row r="542">
      <c r="D542" s="6"/>
      <c r="E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</row>
    <row r="543">
      <c r="D543" s="6"/>
      <c r="E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</row>
    <row r="544">
      <c r="D544" s="6"/>
      <c r="E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</row>
    <row r="545">
      <c r="D545" s="6"/>
      <c r="E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</row>
    <row r="546">
      <c r="D546" s="6"/>
      <c r="E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</row>
    <row r="547">
      <c r="D547" s="6"/>
      <c r="E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</row>
    <row r="548">
      <c r="D548" s="6"/>
      <c r="E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</row>
    <row r="549">
      <c r="D549" s="6"/>
      <c r="E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</row>
    <row r="550">
      <c r="D550" s="6"/>
      <c r="E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</row>
    <row r="551">
      <c r="D551" s="6"/>
      <c r="E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</row>
    <row r="552">
      <c r="D552" s="6"/>
      <c r="E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</row>
    <row r="553">
      <c r="D553" s="6"/>
      <c r="E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</row>
    <row r="554">
      <c r="D554" s="6"/>
      <c r="E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</row>
    <row r="555">
      <c r="D555" s="6"/>
      <c r="E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</row>
    <row r="556">
      <c r="D556" s="6"/>
      <c r="E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</row>
    <row r="557">
      <c r="D557" s="6"/>
      <c r="E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</row>
    <row r="558">
      <c r="D558" s="6"/>
      <c r="E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</row>
    <row r="559">
      <c r="D559" s="6"/>
      <c r="E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</row>
    <row r="560">
      <c r="D560" s="6"/>
      <c r="E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</row>
    <row r="561">
      <c r="D561" s="6"/>
      <c r="E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</row>
    <row r="562">
      <c r="D562" s="6"/>
      <c r="E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</row>
    <row r="563">
      <c r="D563" s="6"/>
      <c r="E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</row>
    <row r="564">
      <c r="D564" s="6"/>
      <c r="E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</row>
    <row r="565">
      <c r="D565" s="6"/>
      <c r="E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</row>
    <row r="566">
      <c r="D566" s="6"/>
      <c r="E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</row>
    <row r="567">
      <c r="D567" s="6"/>
      <c r="E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</row>
    <row r="568">
      <c r="D568" s="6"/>
      <c r="E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</row>
    <row r="569">
      <c r="D569" s="6"/>
      <c r="E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</row>
    <row r="570">
      <c r="D570" s="6"/>
      <c r="E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</row>
    <row r="571">
      <c r="D571" s="6"/>
      <c r="E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</row>
    <row r="572">
      <c r="D572" s="6"/>
      <c r="E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</row>
    <row r="573">
      <c r="D573" s="6"/>
      <c r="E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</row>
    <row r="574">
      <c r="D574" s="6"/>
      <c r="E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</row>
    <row r="575">
      <c r="D575" s="6"/>
      <c r="E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</row>
    <row r="576">
      <c r="D576" s="6"/>
      <c r="E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</row>
    <row r="577">
      <c r="D577" s="6"/>
      <c r="E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</row>
    <row r="578">
      <c r="D578" s="6"/>
      <c r="E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</row>
    <row r="579">
      <c r="D579" s="6"/>
      <c r="E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</row>
    <row r="580">
      <c r="D580" s="6"/>
      <c r="E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</row>
    <row r="581">
      <c r="D581" s="6"/>
      <c r="E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</row>
    <row r="582">
      <c r="D582" s="6"/>
      <c r="E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</row>
    <row r="583">
      <c r="D583" s="6"/>
      <c r="E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</row>
    <row r="584">
      <c r="D584" s="6"/>
      <c r="E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</row>
    <row r="585">
      <c r="D585" s="6"/>
      <c r="E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</row>
    <row r="586">
      <c r="D586" s="6"/>
      <c r="E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</row>
    <row r="587">
      <c r="D587" s="6"/>
      <c r="E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</row>
    <row r="588">
      <c r="D588" s="6"/>
      <c r="E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</row>
    <row r="589">
      <c r="D589" s="6"/>
      <c r="E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</row>
    <row r="590">
      <c r="D590" s="6"/>
      <c r="E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</row>
    <row r="591">
      <c r="D591" s="6"/>
      <c r="E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</row>
    <row r="592">
      <c r="D592" s="6"/>
      <c r="E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</row>
    <row r="593">
      <c r="D593" s="6"/>
      <c r="E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</row>
    <row r="594">
      <c r="D594" s="6"/>
      <c r="E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</row>
    <row r="595">
      <c r="D595" s="6"/>
      <c r="E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</row>
    <row r="596">
      <c r="D596" s="6"/>
      <c r="E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</row>
    <row r="597">
      <c r="D597" s="6"/>
      <c r="E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</row>
    <row r="598">
      <c r="D598" s="6"/>
      <c r="E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</row>
    <row r="599">
      <c r="D599" s="6"/>
      <c r="E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</row>
    <row r="600">
      <c r="D600" s="6"/>
      <c r="E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</row>
    <row r="601">
      <c r="D601" s="6"/>
      <c r="E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</row>
    <row r="602">
      <c r="D602" s="6"/>
      <c r="E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</row>
    <row r="603">
      <c r="D603" s="6"/>
      <c r="E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</row>
    <row r="604">
      <c r="D604" s="6"/>
      <c r="E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</row>
    <row r="605">
      <c r="D605" s="6"/>
      <c r="E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</row>
    <row r="606">
      <c r="D606" s="6"/>
      <c r="E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</row>
    <row r="607">
      <c r="D607" s="6"/>
      <c r="E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</row>
    <row r="608">
      <c r="D608" s="6"/>
      <c r="E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</row>
    <row r="609">
      <c r="D609" s="6"/>
      <c r="E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</row>
    <row r="610">
      <c r="D610" s="6"/>
      <c r="E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</row>
    <row r="611">
      <c r="D611" s="6"/>
      <c r="E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</row>
    <row r="612">
      <c r="D612" s="6"/>
      <c r="E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</row>
    <row r="613">
      <c r="D613" s="6"/>
      <c r="E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</row>
    <row r="614">
      <c r="D614" s="6"/>
      <c r="E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</row>
    <row r="615">
      <c r="D615" s="6"/>
      <c r="E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</row>
    <row r="616">
      <c r="D616" s="6"/>
      <c r="E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</row>
    <row r="617">
      <c r="D617" s="6"/>
      <c r="E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</row>
    <row r="618">
      <c r="D618" s="6"/>
      <c r="E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</row>
    <row r="619">
      <c r="D619" s="6"/>
      <c r="E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</row>
    <row r="620">
      <c r="D620" s="6"/>
      <c r="E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</row>
    <row r="621">
      <c r="D621" s="6"/>
      <c r="E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</row>
    <row r="622">
      <c r="D622" s="6"/>
      <c r="E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</row>
    <row r="623">
      <c r="D623" s="6"/>
      <c r="E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</row>
    <row r="624">
      <c r="D624" s="6"/>
      <c r="E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</row>
    <row r="625">
      <c r="D625" s="6"/>
      <c r="E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</row>
    <row r="626">
      <c r="D626" s="6"/>
      <c r="E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</row>
    <row r="627">
      <c r="D627" s="6"/>
      <c r="E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</row>
    <row r="628">
      <c r="D628" s="6"/>
      <c r="E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</row>
    <row r="629">
      <c r="D629" s="6"/>
      <c r="E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</row>
    <row r="630">
      <c r="D630" s="6"/>
      <c r="E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</row>
    <row r="631">
      <c r="D631" s="6"/>
      <c r="E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</row>
    <row r="632">
      <c r="D632" s="6"/>
      <c r="E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</row>
    <row r="633">
      <c r="D633" s="6"/>
      <c r="E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</row>
    <row r="634">
      <c r="D634" s="6"/>
      <c r="E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</row>
    <row r="635">
      <c r="D635" s="6"/>
      <c r="E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</row>
    <row r="636">
      <c r="D636" s="6"/>
      <c r="E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</row>
    <row r="637">
      <c r="D637" s="6"/>
      <c r="E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</row>
    <row r="638">
      <c r="D638" s="6"/>
      <c r="E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</row>
    <row r="639">
      <c r="D639" s="6"/>
      <c r="E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</row>
    <row r="640">
      <c r="D640" s="6"/>
      <c r="E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</row>
    <row r="641">
      <c r="D641" s="6"/>
      <c r="E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</row>
    <row r="642">
      <c r="D642" s="6"/>
      <c r="E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</row>
    <row r="643">
      <c r="D643" s="6"/>
      <c r="E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</row>
    <row r="644">
      <c r="D644" s="6"/>
      <c r="E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</row>
    <row r="645">
      <c r="D645" s="6"/>
      <c r="E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</row>
    <row r="646">
      <c r="D646" s="6"/>
      <c r="E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</row>
    <row r="647">
      <c r="D647" s="6"/>
      <c r="E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</row>
    <row r="648">
      <c r="D648" s="6"/>
      <c r="E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</row>
    <row r="649">
      <c r="D649" s="6"/>
      <c r="E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</row>
    <row r="650">
      <c r="D650" s="6"/>
      <c r="E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</row>
    <row r="651">
      <c r="D651" s="6"/>
      <c r="E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</row>
    <row r="652">
      <c r="D652" s="6"/>
      <c r="E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</row>
    <row r="653">
      <c r="D653" s="6"/>
      <c r="E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</row>
    <row r="654">
      <c r="D654" s="6"/>
      <c r="E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</row>
    <row r="655">
      <c r="D655" s="6"/>
      <c r="E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</row>
    <row r="656">
      <c r="D656" s="6"/>
      <c r="E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</row>
    <row r="657">
      <c r="D657" s="6"/>
      <c r="E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</row>
    <row r="658">
      <c r="D658" s="6"/>
      <c r="E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</row>
    <row r="659">
      <c r="D659" s="6"/>
      <c r="E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</row>
    <row r="660">
      <c r="D660" s="6"/>
      <c r="E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</row>
    <row r="661">
      <c r="D661" s="6"/>
      <c r="E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</row>
    <row r="662">
      <c r="D662" s="6"/>
      <c r="E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</row>
    <row r="663">
      <c r="D663" s="6"/>
      <c r="E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</row>
    <row r="664">
      <c r="D664" s="6"/>
      <c r="E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</row>
    <row r="665">
      <c r="D665" s="6"/>
      <c r="E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</row>
    <row r="666">
      <c r="D666" s="6"/>
      <c r="E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</row>
    <row r="667">
      <c r="D667" s="6"/>
      <c r="E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</row>
    <row r="668">
      <c r="D668" s="6"/>
      <c r="E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</row>
    <row r="669">
      <c r="D669" s="6"/>
      <c r="E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</row>
    <row r="670">
      <c r="D670" s="6"/>
      <c r="E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</row>
    <row r="671">
      <c r="D671" s="6"/>
      <c r="E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</row>
    <row r="672">
      <c r="D672" s="6"/>
      <c r="E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</row>
    <row r="673">
      <c r="D673" s="6"/>
      <c r="E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</row>
    <row r="674">
      <c r="D674" s="6"/>
      <c r="E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</row>
    <row r="675">
      <c r="D675" s="6"/>
      <c r="E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</row>
    <row r="676">
      <c r="D676" s="6"/>
      <c r="E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</row>
    <row r="677">
      <c r="D677" s="6"/>
      <c r="E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</row>
    <row r="678">
      <c r="D678" s="6"/>
      <c r="E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</row>
    <row r="679">
      <c r="D679" s="6"/>
      <c r="E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</row>
    <row r="680">
      <c r="D680" s="6"/>
      <c r="E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</row>
    <row r="681">
      <c r="D681" s="6"/>
      <c r="E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</row>
    <row r="682">
      <c r="D682" s="6"/>
      <c r="E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</row>
    <row r="683">
      <c r="D683" s="6"/>
      <c r="E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</row>
    <row r="684">
      <c r="D684" s="6"/>
      <c r="E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</row>
    <row r="685">
      <c r="D685" s="6"/>
      <c r="E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</row>
    <row r="686">
      <c r="D686" s="6"/>
      <c r="E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</row>
    <row r="687">
      <c r="D687" s="6"/>
      <c r="E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</row>
    <row r="688">
      <c r="D688" s="6"/>
      <c r="E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</row>
    <row r="689">
      <c r="D689" s="6"/>
      <c r="E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</row>
    <row r="690">
      <c r="D690" s="6"/>
      <c r="E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</row>
    <row r="691">
      <c r="D691" s="6"/>
      <c r="E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</row>
    <row r="692">
      <c r="D692" s="6"/>
      <c r="E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</row>
    <row r="693">
      <c r="D693" s="6"/>
      <c r="E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</row>
    <row r="694">
      <c r="D694" s="6"/>
      <c r="E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</row>
    <row r="695">
      <c r="D695" s="6"/>
      <c r="E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</row>
    <row r="696">
      <c r="D696" s="6"/>
      <c r="E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</row>
    <row r="697">
      <c r="D697" s="6"/>
      <c r="E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</row>
    <row r="698">
      <c r="D698" s="6"/>
      <c r="E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</row>
    <row r="699">
      <c r="D699" s="6"/>
      <c r="E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</row>
    <row r="700">
      <c r="D700" s="6"/>
      <c r="E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</row>
    <row r="701">
      <c r="D701" s="6"/>
      <c r="E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</row>
    <row r="702">
      <c r="D702" s="6"/>
      <c r="E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</row>
    <row r="703">
      <c r="D703" s="6"/>
      <c r="E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</row>
    <row r="704">
      <c r="D704" s="6"/>
      <c r="E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</row>
    <row r="705">
      <c r="D705" s="6"/>
      <c r="E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</row>
    <row r="706">
      <c r="D706" s="6"/>
      <c r="E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</row>
    <row r="707">
      <c r="D707" s="6"/>
      <c r="E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</row>
    <row r="708">
      <c r="D708" s="6"/>
      <c r="E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</row>
    <row r="709">
      <c r="D709" s="6"/>
      <c r="E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</row>
    <row r="710">
      <c r="D710" s="6"/>
      <c r="E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</row>
    <row r="711">
      <c r="D711" s="6"/>
      <c r="E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</row>
    <row r="712">
      <c r="D712" s="6"/>
      <c r="E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</row>
    <row r="713">
      <c r="D713" s="6"/>
      <c r="E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</row>
    <row r="714">
      <c r="D714" s="6"/>
      <c r="E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</row>
    <row r="715">
      <c r="D715" s="6"/>
      <c r="E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</row>
    <row r="716">
      <c r="D716" s="6"/>
      <c r="E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</row>
    <row r="717">
      <c r="D717" s="6"/>
      <c r="E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</row>
    <row r="718">
      <c r="D718" s="6"/>
      <c r="E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</row>
    <row r="719">
      <c r="D719" s="6"/>
      <c r="E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</row>
    <row r="720">
      <c r="D720" s="6"/>
      <c r="E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</row>
    <row r="721">
      <c r="D721" s="6"/>
      <c r="E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</row>
    <row r="722">
      <c r="D722" s="6"/>
      <c r="E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</row>
    <row r="723">
      <c r="D723" s="6"/>
      <c r="E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</row>
    <row r="724">
      <c r="D724" s="6"/>
      <c r="E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</row>
    <row r="725">
      <c r="D725" s="6"/>
      <c r="E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</row>
    <row r="726">
      <c r="D726" s="6"/>
      <c r="E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</row>
    <row r="727">
      <c r="D727" s="6"/>
      <c r="E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</row>
    <row r="728">
      <c r="D728" s="6"/>
      <c r="E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</row>
    <row r="729">
      <c r="D729" s="6"/>
      <c r="E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</row>
    <row r="730">
      <c r="D730" s="6"/>
      <c r="E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</row>
    <row r="731">
      <c r="D731" s="6"/>
      <c r="E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</row>
    <row r="732">
      <c r="D732" s="6"/>
      <c r="E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</row>
    <row r="733">
      <c r="D733" s="6"/>
      <c r="E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</row>
    <row r="734">
      <c r="D734" s="6"/>
      <c r="E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</row>
    <row r="735">
      <c r="D735" s="6"/>
      <c r="E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</row>
    <row r="736">
      <c r="D736" s="6"/>
      <c r="E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</row>
    <row r="737">
      <c r="D737" s="6"/>
      <c r="E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</row>
    <row r="738">
      <c r="D738" s="6"/>
      <c r="E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</row>
    <row r="739">
      <c r="D739" s="6"/>
      <c r="E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</row>
    <row r="740">
      <c r="D740" s="6"/>
      <c r="E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</row>
    <row r="741">
      <c r="D741" s="6"/>
      <c r="E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</row>
    <row r="742">
      <c r="D742" s="6"/>
      <c r="E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</row>
    <row r="743">
      <c r="D743" s="6"/>
      <c r="E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</row>
    <row r="744">
      <c r="D744" s="6"/>
      <c r="E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</row>
    <row r="745">
      <c r="D745" s="6"/>
      <c r="E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</row>
    <row r="746">
      <c r="D746" s="6"/>
      <c r="E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</row>
    <row r="747">
      <c r="D747" s="6"/>
      <c r="E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</row>
    <row r="748">
      <c r="D748" s="6"/>
      <c r="E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</row>
    <row r="749">
      <c r="D749" s="6"/>
      <c r="E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</row>
    <row r="750">
      <c r="D750" s="6"/>
      <c r="E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</row>
    <row r="751">
      <c r="D751" s="6"/>
      <c r="E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</row>
    <row r="752">
      <c r="D752" s="6"/>
      <c r="E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</row>
    <row r="753">
      <c r="D753" s="6"/>
      <c r="E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</row>
    <row r="754">
      <c r="D754" s="6"/>
      <c r="E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</row>
    <row r="755">
      <c r="D755" s="6"/>
      <c r="E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</row>
    <row r="756">
      <c r="D756" s="6"/>
      <c r="E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</row>
    <row r="757">
      <c r="D757" s="6"/>
      <c r="E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</row>
    <row r="758">
      <c r="D758" s="6"/>
      <c r="E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</row>
    <row r="759">
      <c r="D759" s="6"/>
      <c r="E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</row>
    <row r="760">
      <c r="D760" s="6"/>
      <c r="E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</row>
    <row r="761">
      <c r="D761" s="6"/>
      <c r="E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</row>
    <row r="762">
      <c r="D762" s="6"/>
      <c r="E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</row>
    <row r="763">
      <c r="D763" s="6"/>
      <c r="E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</row>
    <row r="764">
      <c r="D764" s="6"/>
      <c r="E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</row>
    <row r="765">
      <c r="D765" s="6"/>
      <c r="E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</row>
    <row r="766">
      <c r="D766" s="6"/>
      <c r="E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</row>
    <row r="767">
      <c r="D767" s="6"/>
      <c r="E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</row>
    <row r="768">
      <c r="D768" s="6"/>
      <c r="E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</row>
    <row r="769">
      <c r="D769" s="6"/>
      <c r="E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</row>
    <row r="770">
      <c r="D770" s="6"/>
      <c r="E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</row>
    <row r="771">
      <c r="D771" s="6"/>
      <c r="E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</row>
    <row r="772">
      <c r="D772" s="6"/>
      <c r="E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</row>
    <row r="773">
      <c r="D773" s="6"/>
      <c r="E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</row>
    <row r="774">
      <c r="D774" s="6"/>
      <c r="E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</row>
    <row r="775">
      <c r="D775" s="6"/>
      <c r="E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</row>
    <row r="776">
      <c r="D776" s="6"/>
      <c r="E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</row>
    <row r="777">
      <c r="D777" s="6"/>
      <c r="E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</row>
    <row r="778">
      <c r="D778" s="6"/>
      <c r="E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</row>
    <row r="779">
      <c r="D779" s="6"/>
      <c r="E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</row>
    <row r="780">
      <c r="D780" s="6"/>
      <c r="E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</row>
    <row r="781">
      <c r="D781" s="6"/>
      <c r="E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</row>
    <row r="782">
      <c r="D782" s="6"/>
      <c r="E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</row>
    <row r="783">
      <c r="D783" s="6"/>
      <c r="E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</row>
    <row r="784">
      <c r="D784" s="6"/>
      <c r="E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</row>
    <row r="785">
      <c r="D785" s="6"/>
      <c r="E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</row>
    <row r="786">
      <c r="D786" s="6"/>
      <c r="E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</row>
    <row r="787">
      <c r="D787" s="6"/>
      <c r="E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</row>
    <row r="788">
      <c r="D788" s="6"/>
      <c r="E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</row>
    <row r="789">
      <c r="D789" s="6"/>
      <c r="E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</row>
    <row r="790">
      <c r="D790" s="6"/>
      <c r="E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</row>
    <row r="791">
      <c r="D791" s="6"/>
      <c r="E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</row>
    <row r="792">
      <c r="D792" s="6"/>
      <c r="E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</row>
    <row r="793">
      <c r="D793" s="6"/>
      <c r="E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</row>
    <row r="794">
      <c r="D794" s="6"/>
      <c r="E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</row>
    <row r="795">
      <c r="D795" s="6"/>
      <c r="E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</row>
    <row r="796">
      <c r="D796" s="6"/>
      <c r="E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</row>
    <row r="797">
      <c r="D797" s="6"/>
      <c r="E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</row>
    <row r="798">
      <c r="D798" s="6"/>
      <c r="E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</row>
    <row r="799">
      <c r="D799" s="6"/>
      <c r="E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</row>
    <row r="800">
      <c r="D800" s="6"/>
      <c r="E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</row>
    <row r="801">
      <c r="D801" s="6"/>
      <c r="E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</row>
    <row r="802">
      <c r="D802" s="6"/>
      <c r="E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</row>
    <row r="803">
      <c r="D803" s="6"/>
      <c r="E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</row>
    <row r="804">
      <c r="D804" s="6"/>
      <c r="E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</row>
    <row r="805">
      <c r="D805" s="6"/>
      <c r="E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</row>
    <row r="806">
      <c r="D806" s="6"/>
      <c r="E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</row>
    <row r="807">
      <c r="D807" s="6"/>
      <c r="E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</row>
    <row r="808">
      <c r="D808" s="6"/>
      <c r="E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</row>
    <row r="809">
      <c r="D809" s="6"/>
      <c r="E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</row>
    <row r="810">
      <c r="D810" s="6"/>
      <c r="E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</row>
    <row r="811">
      <c r="D811" s="6"/>
      <c r="E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</row>
    <row r="812">
      <c r="D812" s="6"/>
      <c r="E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</row>
    <row r="813">
      <c r="D813" s="6"/>
      <c r="E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</row>
    <row r="814">
      <c r="D814" s="6"/>
      <c r="E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</row>
    <row r="815">
      <c r="D815" s="6"/>
      <c r="E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</row>
    <row r="816">
      <c r="D816" s="6"/>
      <c r="E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</row>
    <row r="817">
      <c r="D817" s="6"/>
      <c r="E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</row>
    <row r="818">
      <c r="D818" s="6"/>
      <c r="E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</row>
    <row r="819">
      <c r="D819" s="6"/>
      <c r="E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</row>
    <row r="820">
      <c r="D820" s="6"/>
      <c r="E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</row>
    <row r="821">
      <c r="D821" s="6"/>
      <c r="E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</row>
    <row r="822">
      <c r="D822" s="6"/>
      <c r="E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</row>
    <row r="823">
      <c r="D823" s="6"/>
      <c r="E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</row>
    <row r="824">
      <c r="D824" s="6"/>
      <c r="E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</row>
    <row r="825">
      <c r="D825" s="6"/>
      <c r="E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</row>
    <row r="826">
      <c r="D826" s="6"/>
      <c r="E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</row>
    <row r="827">
      <c r="D827" s="6"/>
      <c r="E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</row>
    <row r="828">
      <c r="D828" s="6"/>
      <c r="E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</row>
    <row r="829">
      <c r="D829" s="6"/>
      <c r="E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</row>
    <row r="830">
      <c r="D830" s="6"/>
      <c r="E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</row>
    <row r="831">
      <c r="D831" s="6"/>
      <c r="E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</row>
    <row r="832">
      <c r="D832" s="6"/>
      <c r="E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</row>
    <row r="833">
      <c r="D833" s="6"/>
      <c r="E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</row>
    <row r="834">
      <c r="D834" s="6"/>
      <c r="E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</row>
    <row r="835">
      <c r="D835" s="6"/>
      <c r="E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</row>
    <row r="836">
      <c r="D836" s="6"/>
      <c r="E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</row>
    <row r="837">
      <c r="D837" s="6"/>
      <c r="E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</row>
    <row r="838">
      <c r="D838" s="6"/>
      <c r="E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</row>
    <row r="839">
      <c r="D839" s="6"/>
      <c r="E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</row>
    <row r="840">
      <c r="D840" s="6"/>
      <c r="E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</row>
    <row r="841">
      <c r="D841" s="6"/>
      <c r="E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</row>
    <row r="842">
      <c r="D842" s="6"/>
      <c r="E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</row>
    <row r="843">
      <c r="D843" s="6"/>
      <c r="E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</row>
    <row r="844">
      <c r="D844" s="6"/>
      <c r="E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</row>
    <row r="845">
      <c r="D845" s="6"/>
      <c r="E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</row>
    <row r="846">
      <c r="D846" s="6"/>
      <c r="E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</row>
    <row r="847">
      <c r="D847" s="6"/>
      <c r="E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</row>
    <row r="848">
      <c r="D848" s="6"/>
      <c r="E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</row>
    <row r="849">
      <c r="D849" s="6"/>
      <c r="E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</row>
    <row r="850">
      <c r="D850" s="6"/>
      <c r="E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</row>
    <row r="851">
      <c r="D851" s="6"/>
      <c r="E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</row>
    <row r="852">
      <c r="D852" s="6"/>
      <c r="E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</row>
    <row r="853">
      <c r="D853" s="6"/>
      <c r="E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</row>
    <row r="854">
      <c r="D854" s="6"/>
      <c r="E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</row>
    <row r="855">
      <c r="D855" s="6"/>
      <c r="E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</row>
    <row r="856">
      <c r="D856" s="6"/>
      <c r="E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</row>
    <row r="857">
      <c r="D857" s="6"/>
      <c r="E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</row>
    <row r="858">
      <c r="D858" s="6"/>
      <c r="E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</row>
    <row r="859">
      <c r="D859" s="6"/>
      <c r="E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</row>
    <row r="860">
      <c r="D860" s="6"/>
      <c r="E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</row>
    <row r="861">
      <c r="D861" s="6"/>
      <c r="E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</row>
    <row r="862">
      <c r="D862" s="6"/>
      <c r="E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</row>
    <row r="863">
      <c r="D863" s="6"/>
      <c r="E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</row>
    <row r="864">
      <c r="D864" s="6"/>
      <c r="E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</row>
    <row r="865">
      <c r="D865" s="6"/>
      <c r="E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</row>
    <row r="866">
      <c r="D866" s="6"/>
      <c r="E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</row>
    <row r="867">
      <c r="D867" s="6"/>
      <c r="E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</row>
    <row r="868">
      <c r="D868" s="6"/>
      <c r="E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</row>
    <row r="869">
      <c r="D869" s="6"/>
      <c r="E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</row>
    <row r="870">
      <c r="D870" s="6"/>
      <c r="E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</row>
    <row r="871">
      <c r="D871" s="6"/>
      <c r="E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</row>
    <row r="872">
      <c r="D872" s="6"/>
      <c r="E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</row>
    <row r="873">
      <c r="D873" s="6"/>
      <c r="E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</row>
    <row r="874">
      <c r="D874" s="6"/>
      <c r="E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</row>
    <row r="875">
      <c r="D875" s="6"/>
      <c r="E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</row>
    <row r="876">
      <c r="D876" s="6"/>
      <c r="E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</row>
    <row r="877">
      <c r="D877" s="6"/>
      <c r="E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</row>
    <row r="878">
      <c r="D878" s="6"/>
      <c r="E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</row>
    <row r="879">
      <c r="D879" s="6"/>
      <c r="E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</row>
    <row r="880">
      <c r="D880" s="6"/>
      <c r="E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</row>
    <row r="881">
      <c r="D881" s="6"/>
      <c r="E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</row>
    <row r="882">
      <c r="D882" s="6"/>
      <c r="E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</row>
    <row r="883">
      <c r="D883" s="6"/>
      <c r="E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</row>
    <row r="884">
      <c r="D884" s="6"/>
      <c r="E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</row>
    <row r="885">
      <c r="D885" s="6"/>
      <c r="E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</row>
    <row r="886">
      <c r="D886" s="6"/>
      <c r="E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</row>
    <row r="887">
      <c r="D887" s="6"/>
      <c r="E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</row>
    <row r="888">
      <c r="D888" s="6"/>
      <c r="E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</row>
    <row r="889">
      <c r="D889" s="6"/>
      <c r="E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</row>
    <row r="890">
      <c r="D890" s="6"/>
      <c r="E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</row>
    <row r="891">
      <c r="D891" s="6"/>
      <c r="E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</row>
    <row r="892">
      <c r="D892" s="6"/>
      <c r="E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</row>
    <row r="893">
      <c r="D893" s="6"/>
      <c r="E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</row>
    <row r="894">
      <c r="D894" s="6"/>
      <c r="E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</row>
    <row r="895">
      <c r="D895" s="6"/>
      <c r="E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</row>
    <row r="896">
      <c r="D896" s="6"/>
      <c r="E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</row>
    <row r="897">
      <c r="D897" s="6"/>
      <c r="E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</row>
    <row r="898">
      <c r="D898" s="6"/>
      <c r="E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</row>
    <row r="899">
      <c r="D899" s="6"/>
      <c r="E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</row>
    <row r="900">
      <c r="D900" s="6"/>
      <c r="E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</row>
    <row r="901">
      <c r="D901" s="6"/>
      <c r="E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</row>
    <row r="902">
      <c r="D902" s="6"/>
      <c r="E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</row>
    <row r="903">
      <c r="D903" s="6"/>
      <c r="E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</row>
    <row r="904">
      <c r="D904" s="6"/>
      <c r="E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</row>
    <row r="905">
      <c r="D905" s="6"/>
      <c r="E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</row>
    <row r="906">
      <c r="D906" s="6"/>
      <c r="E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</row>
    <row r="907">
      <c r="D907" s="6"/>
      <c r="E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</row>
    <row r="908">
      <c r="D908" s="6"/>
      <c r="E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</row>
    <row r="909">
      <c r="D909" s="6"/>
      <c r="E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</row>
    <row r="910">
      <c r="D910" s="6"/>
      <c r="E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</row>
    <row r="911">
      <c r="D911" s="6"/>
      <c r="E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</row>
    <row r="912">
      <c r="D912" s="6"/>
      <c r="E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</row>
    <row r="913">
      <c r="D913" s="6"/>
      <c r="E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</row>
    <row r="914">
      <c r="D914" s="6"/>
      <c r="E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</row>
    <row r="915">
      <c r="D915" s="6"/>
      <c r="E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</row>
    <row r="916">
      <c r="D916" s="6"/>
      <c r="E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</row>
    <row r="917">
      <c r="D917" s="6"/>
      <c r="E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</row>
    <row r="918">
      <c r="D918" s="6"/>
      <c r="E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</row>
    <row r="919">
      <c r="D919" s="6"/>
      <c r="E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</row>
    <row r="920">
      <c r="D920" s="6"/>
      <c r="E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</row>
    <row r="921">
      <c r="D921" s="6"/>
      <c r="E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</row>
    <row r="922">
      <c r="D922" s="6"/>
      <c r="E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</row>
    <row r="923">
      <c r="D923" s="6"/>
      <c r="E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</row>
    <row r="924">
      <c r="D924" s="6"/>
      <c r="E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</row>
    <row r="925">
      <c r="D925" s="6"/>
      <c r="E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</row>
    <row r="926">
      <c r="D926" s="6"/>
      <c r="E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</row>
    <row r="927">
      <c r="D927" s="6"/>
      <c r="E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</row>
    <row r="928">
      <c r="D928" s="6"/>
      <c r="E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</row>
    <row r="929">
      <c r="D929" s="6"/>
      <c r="E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</row>
    <row r="930">
      <c r="D930" s="6"/>
      <c r="E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</row>
    <row r="931">
      <c r="D931" s="6"/>
      <c r="E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</row>
    <row r="932">
      <c r="D932" s="6"/>
      <c r="E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</row>
    <row r="933">
      <c r="D933" s="6"/>
      <c r="E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</row>
    <row r="934">
      <c r="D934" s="6"/>
      <c r="E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</row>
    <row r="935">
      <c r="D935" s="6"/>
      <c r="E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</row>
    <row r="936">
      <c r="D936" s="6"/>
      <c r="E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</row>
    <row r="937">
      <c r="D937" s="6"/>
      <c r="E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</row>
    <row r="938">
      <c r="D938" s="6"/>
      <c r="E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</row>
    <row r="939">
      <c r="D939" s="6"/>
      <c r="E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</row>
    <row r="940">
      <c r="D940" s="6"/>
      <c r="E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</row>
    <row r="941">
      <c r="D941" s="6"/>
      <c r="E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</row>
    <row r="942">
      <c r="D942" s="6"/>
      <c r="E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</row>
    <row r="943">
      <c r="D943" s="6"/>
      <c r="E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</row>
    <row r="944">
      <c r="D944" s="6"/>
      <c r="E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</row>
    <row r="945">
      <c r="D945" s="6"/>
      <c r="E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</row>
    <row r="946">
      <c r="D946" s="6"/>
      <c r="E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</row>
    <row r="947">
      <c r="D947" s="6"/>
      <c r="E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</row>
    <row r="948">
      <c r="D948" s="6"/>
      <c r="E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</row>
    <row r="949">
      <c r="D949" s="6"/>
      <c r="E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</row>
    <row r="950">
      <c r="D950" s="6"/>
      <c r="E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</row>
    <row r="951">
      <c r="D951" s="6"/>
      <c r="E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</row>
    <row r="952">
      <c r="D952" s="6"/>
      <c r="E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</row>
    <row r="953">
      <c r="D953" s="6"/>
      <c r="E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</row>
    <row r="954">
      <c r="D954" s="6"/>
      <c r="E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</row>
    <row r="955">
      <c r="D955" s="6"/>
      <c r="E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</row>
    <row r="956">
      <c r="D956" s="6"/>
      <c r="E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</row>
    <row r="957">
      <c r="D957" s="6"/>
      <c r="E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</row>
    <row r="958">
      <c r="D958" s="6"/>
      <c r="E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</row>
    <row r="959">
      <c r="D959" s="6"/>
      <c r="E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</row>
    <row r="960">
      <c r="D960" s="6"/>
      <c r="E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</row>
    <row r="961">
      <c r="D961" s="6"/>
      <c r="E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</row>
    <row r="962">
      <c r="D962" s="6"/>
      <c r="E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</row>
    <row r="963">
      <c r="D963" s="6"/>
      <c r="E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</row>
    <row r="964">
      <c r="D964" s="6"/>
      <c r="E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</row>
    <row r="965">
      <c r="D965" s="6"/>
      <c r="E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</row>
    <row r="966">
      <c r="D966" s="6"/>
      <c r="E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</row>
    <row r="967">
      <c r="D967" s="6"/>
      <c r="E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</row>
    <row r="968">
      <c r="D968" s="6"/>
      <c r="E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</row>
    <row r="969">
      <c r="D969" s="6"/>
      <c r="E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</row>
    <row r="970">
      <c r="D970" s="6"/>
      <c r="E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</row>
    <row r="971">
      <c r="D971" s="6"/>
      <c r="E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</row>
    <row r="972">
      <c r="D972" s="6"/>
      <c r="E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</row>
    <row r="973">
      <c r="D973" s="6"/>
      <c r="E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</row>
    <row r="974">
      <c r="D974" s="6"/>
      <c r="E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</row>
    <row r="975">
      <c r="D975" s="6"/>
      <c r="E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</row>
    <row r="976">
      <c r="D976" s="6"/>
      <c r="E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</row>
    <row r="977">
      <c r="D977" s="6"/>
      <c r="E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</row>
    <row r="978">
      <c r="D978" s="6"/>
      <c r="E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</row>
    <row r="979">
      <c r="D979" s="6"/>
      <c r="E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</row>
    <row r="980">
      <c r="D980" s="6"/>
      <c r="E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</row>
    <row r="981">
      <c r="D981" s="6"/>
      <c r="E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</row>
    <row r="982">
      <c r="D982" s="6"/>
      <c r="E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</row>
    <row r="983">
      <c r="D983" s="6"/>
      <c r="E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</row>
    <row r="984">
      <c r="D984" s="6"/>
      <c r="E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</row>
    <row r="985">
      <c r="D985" s="6"/>
      <c r="E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</row>
    <row r="986">
      <c r="D986" s="6"/>
      <c r="E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</row>
    <row r="987">
      <c r="D987" s="6"/>
      <c r="E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</row>
    <row r="988">
      <c r="D988" s="6"/>
      <c r="E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</row>
    <row r="989">
      <c r="D989" s="6"/>
      <c r="E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</row>
    <row r="990">
      <c r="D990" s="6"/>
      <c r="E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</row>
    <row r="991">
      <c r="D991" s="6"/>
      <c r="E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</row>
    <row r="992">
      <c r="D992" s="6"/>
      <c r="E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</row>
    <row r="993">
      <c r="D993" s="6"/>
      <c r="E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</row>
    <row r="994">
      <c r="D994" s="6"/>
      <c r="E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</row>
    <row r="995">
      <c r="D995" s="6"/>
      <c r="E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</row>
    <row r="996">
      <c r="D996" s="6"/>
      <c r="E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</row>
    <row r="997">
      <c r="D997" s="6"/>
      <c r="E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</row>
    <row r="998">
      <c r="D998" s="6"/>
      <c r="E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</row>
    <row r="999">
      <c r="D999" s="6"/>
      <c r="E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</row>
    <row r="1000">
      <c r="D1000" s="6"/>
      <c r="E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</row>
    <row r="1001">
      <c r="D1001" s="6"/>
      <c r="E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</row>
    <row r="1002">
      <c r="D1002" s="6"/>
      <c r="E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</row>
    <row r="1003">
      <c r="D1003" s="6"/>
      <c r="E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</row>
    <row r="1004">
      <c r="D1004" s="6"/>
      <c r="E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</row>
    <row r="1005">
      <c r="D1005" s="6"/>
      <c r="E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</row>
    <row r="1006">
      <c r="D1006" s="6"/>
      <c r="E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</row>
    <row r="1007">
      <c r="D1007" s="6"/>
      <c r="E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</row>
    <row r="1008">
      <c r="D1008" s="6"/>
      <c r="E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</row>
    <row r="1009">
      <c r="D1009" s="6"/>
      <c r="E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</row>
    <row r="1010">
      <c r="D1010" s="6"/>
      <c r="E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</row>
    <row r="1011">
      <c r="D1011" s="6"/>
      <c r="E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</row>
    <row r="1012">
      <c r="D1012" s="6"/>
      <c r="E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</row>
    <row r="1013">
      <c r="D1013" s="6"/>
      <c r="E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</row>
    <row r="1014">
      <c r="D1014" s="6"/>
      <c r="E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</row>
    <row r="1015">
      <c r="D1015" s="6"/>
      <c r="E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</row>
    <row r="1016">
      <c r="D1016" s="6"/>
      <c r="E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</row>
    <row r="1017">
      <c r="D1017" s="6"/>
      <c r="E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</row>
    <row r="1018">
      <c r="D1018" s="6"/>
      <c r="E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</row>
    <row r="1019">
      <c r="D1019" s="6"/>
      <c r="E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</row>
    <row r="1020">
      <c r="D1020" s="6"/>
      <c r="E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</row>
  </sheetData>
  <mergeCells count="5">
    <mergeCell ref="Z3:Z4"/>
    <mergeCell ref="Z5:Z6"/>
    <mergeCell ref="Z7:Z8"/>
    <mergeCell ref="Z9:Z10"/>
    <mergeCell ref="Z19:AB20"/>
  </mergeCells>
  <conditionalFormatting sqref="G5:W15">
    <cfRule type="containsText" dxfId="0" priority="1" operator="containsText" text="C1">
      <formula>NOT(ISERROR(SEARCH(("C1"),(G5))))</formula>
    </cfRule>
  </conditionalFormatting>
  <conditionalFormatting sqref="G5:W15">
    <cfRule type="cellIs" dxfId="1" priority="2" operator="equal">
      <formula>"C2"</formula>
    </cfRule>
  </conditionalFormatting>
  <conditionalFormatting sqref="G5:W15">
    <cfRule type="cellIs" dxfId="2" priority="3" operator="equal">
      <formula>"G1"</formula>
    </cfRule>
  </conditionalFormatting>
  <conditionalFormatting sqref="G5:W15">
    <cfRule type="cellIs" dxfId="3" priority="4" operator="equal">
      <formula>"G2"</formula>
    </cfRule>
  </conditionalFormatting>
  <conditionalFormatting sqref="AC3:AC10">
    <cfRule type="cellIs" dxfId="2" priority="5" operator="equal">
      <formula>"G1"</formula>
    </cfRule>
  </conditionalFormatting>
  <conditionalFormatting sqref="AC3:AC10">
    <cfRule type="cellIs" dxfId="3" priority="6" operator="equal">
      <formula>"G2"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.5"/>
    <col customWidth="1" hidden="1" min="2" max="2" width="4.13"/>
    <col customWidth="1" min="3" max="3" width="13.0"/>
    <col customWidth="1" min="4" max="4" width="20.63"/>
    <col customWidth="1" min="5" max="5" width="7.25"/>
    <col customWidth="1" min="6" max="6" width="3.88"/>
    <col customWidth="1" hidden="1" min="7" max="7" width="3.88"/>
    <col customWidth="1" min="8" max="8" width="14.75"/>
    <col customWidth="1" min="9" max="9" width="23.25"/>
    <col customWidth="1" min="10" max="10" width="9.25"/>
    <col customWidth="1" min="11" max="11" width="15.13"/>
    <col customWidth="1" min="12" max="12" width="8.75"/>
  </cols>
  <sheetData>
    <row r="1">
      <c r="G1" s="2"/>
      <c r="H1" s="7"/>
      <c r="I1" s="9"/>
      <c r="J1" s="9"/>
      <c r="K1" s="1"/>
    </row>
    <row r="2">
      <c r="G2" s="2"/>
      <c r="H2" s="10" t="s">
        <v>13</v>
      </c>
      <c r="I2" s="12"/>
      <c r="J2" s="13"/>
      <c r="K2" s="1"/>
    </row>
    <row r="3">
      <c r="G3" s="1"/>
      <c r="H3" s="14" t="s">
        <v>37</v>
      </c>
      <c r="I3" s="18" t="str">
        <f>VLOOKUP($D$5,DatesSemaines,3,0)</f>
        <v>A</v>
      </c>
      <c r="J3" s="20"/>
      <c r="K3" s="1"/>
    </row>
    <row r="4">
      <c r="A4" s="1"/>
      <c r="B4" s="1"/>
      <c r="C4" s="4" t="s">
        <v>65</v>
      </c>
      <c r="D4" s="3" t="s">
        <v>22</v>
      </c>
      <c r="G4" s="1"/>
      <c r="H4" s="24" t="s">
        <v>66</v>
      </c>
      <c r="I4" s="3">
        <f>VLOOKUP($D$4,Étudiants,2,0)</f>
        <v>4</v>
      </c>
      <c r="J4" s="27"/>
      <c r="K4" s="1"/>
    </row>
    <row r="5">
      <c r="A5" s="4"/>
      <c r="B5" s="4">
        <f>VLOOKUP($D$5,DatesSemaines,2,0)</f>
        <v>4</v>
      </c>
      <c r="C5" s="4" t="s">
        <v>34</v>
      </c>
      <c r="D5" s="15">
        <v>46286.0</v>
      </c>
      <c r="G5" s="4">
        <f>VLOOKUP($I$4,Groupes,2,0)</f>
        <v>1</v>
      </c>
      <c r="H5" s="24" t="s">
        <v>71</v>
      </c>
      <c r="I5" s="11" t="s">
        <v>72</v>
      </c>
      <c r="J5" s="27"/>
      <c r="K5" s="1"/>
    </row>
    <row r="6">
      <c r="A6" s="2"/>
      <c r="G6" s="4">
        <f>VLOOKUP($I$4,Groupes,3,0)</f>
        <v>1</v>
      </c>
      <c r="H6" s="24" t="s">
        <v>74</v>
      </c>
      <c r="I6" s="11" t="s">
        <v>75</v>
      </c>
      <c r="J6" s="27"/>
      <c r="K6" s="1"/>
    </row>
    <row r="7">
      <c r="A7" s="1"/>
      <c r="G7" s="1"/>
      <c r="H7" s="33" t="str">
        <f>IF(ISTEXT($I$7),"LV2 :","")</f>
        <v/>
      </c>
      <c r="I7" s="35" t="str">
        <f>VLOOKUP($D$4,Étudiants,column('Trinômes'!$D$1)-column('Trinômes'!$A$1)+1,0)</f>
        <v/>
      </c>
      <c r="J7" s="27"/>
      <c r="K7" s="1"/>
    </row>
    <row r="8">
      <c r="A8" s="4"/>
      <c r="G8" s="1"/>
      <c r="H8" s="37"/>
      <c r="I8" s="39" t="str">
        <f>IF(ISTEXT($I$7),$D$5+Vlookup($I$7,LV2Jours,2,0),"")</f>
        <v/>
      </c>
      <c r="J8" s="41" t="str">
        <f>IF(ISTEXT($I$7),"17h","")</f>
        <v/>
      </c>
      <c r="K8" s="1"/>
    </row>
    <row r="9">
      <c r="A9" s="1"/>
      <c r="G9" s="2"/>
    </row>
    <row r="10">
      <c r="A10" s="1"/>
      <c r="B10" s="2"/>
      <c r="C10" s="43" t="s">
        <v>79</v>
      </c>
      <c r="D10" s="47"/>
      <c r="E10" s="49"/>
      <c r="G10" s="2"/>
      <c r="H10" s="10" t="s">
        <v>85</v>
      </c>
      <c r="I10" s="12"/>
      <c r="J10" s="12"/>
      <c r="K10" s="53"/>
      <c r="L10" s="55"/>
    </row>
    <row r="11">
      <c r="A11" s="2"/>
      <c r="B11" s="4"/>
      <c r="C11" s="14" t="s">
        <v>90</v>
      </c>
      <c r="D11" s="56" t="s">
        <v>76</v>
      </c>
      <c r="E11" s="57" t="s">
        <v>91</v>
      </c>
      <c r="G11" s="2"/>
      <c r="H11" s="10" t="s">
        <v>90</v>
      </c>
      <c r="I11" s="12" t="s">
        <v>76</v>
      </c>
      <c r="J11" s="12" t="s">
        <v>91</v>
      </c>
      <c r="K11" s="58" t="s">
        <v>92</v>
      </c>
      <c r="L11" s="59" t="s">
        <v>93</v>
      </c>
    </row>
    <row r="12">
      <c r="A12" s="2"/>
      <c r="B12" s="4">
        <f>Vlookup($G$5,TPPhysique,MATCH($B$5,Semaines,0),0)</f>
        <v>10</v>
      </c>
      <c r="C12" s="14" t="str">
        <f>IF(ISNUMBER($B12),"TP Physique :","")</f>
        <v>TP Physique :</v>
      </c>
      <c r="D12" s="60">
        <f t="shared" ref="D12:D14" si="1">IF(ISNUMBER($B12),$D$5+1,"")</f>
        <v>46287</v>
      </c>
      <c r="E12" s="57" t="str">
        <f t="shared" ref="E12:E15" si="2">IF(ISNUMBER($B12),$B12&amp;"h","")</f>
        <v>10h</v>
      </c>
      <c r="G12" s="4" t="str">
        <f>Vlookup($I$4,CollesM,MATCH($B$5,Semaines,0),0)</f>
        <v/>
      </c>
      <c r="H12" s="14" t="str">
        <f>IF(ISNUMBER($G12),"Mathématiques :","")</f>
        <v/>
      </c>
      <c r="I12" s="62" t="str">
        <f>IF(ISNUMBER($G12),$D$5+Vlookup($G12,CréneauxM,3,0),"")</f>
        <v/>
      </c>
      <c r="J12" s="63" t="str">
        <f>IF(ISNUMBER($G12),Vlookup($G12,CréneauxM,4,0)&amp;"h","")</f>
        <v/>
      </c>
      <c r="K12" s="63" t="str">
        <f>IF(ISNUMBER($G12),Vlookup($G12,CréneauxM,2,0),"")</f>
        <v/>
      </c>
      <c r="L12" s="57" t="str">
        <f>IF(ISNUMBER($G12),VLOOKUP($G12,CréneauxM,5,0),"")</f>
        <v/>
      </c>
    </row>
    <row r="13">
      <c r="A13" s="4"/>
      <c r="B13" s="4">
        <f>Vlookup($G$6,TPSI,MATCH($B$5,Semaines,0),0)</f>
        <v>8</v>
      </c>
      <c r="C13" s="24" t="str">
        <f>IF(ISNUMBER($B13),"TP SI :","")</f>
        <v>TP SI :</v>
      </c>
      <c r="D13" s="64">
        <f t="shared" si="1"/>
        <v>46287</v>
      </c>
      <c r="E13" s="65" t="str">
        <f t="shared" si="2"/>
        <v>8h</v>
      </c>
      <c r="G13" s="4" t="str">
        <f>Vlookup($I$4,CollesA,MATCH($B$5,Semaines,0),0)</f>
        <v/>
      </c>
      <c r="H13" s="24" t="str">
        <f>IF(ISNUMBER($G13),"Anglais :","")</f>
        <v/>
      </c>
      <c r="I13" s="66" t="str">
        <f>IF(ISNUMBER($G13),$D$5+Vlookup($G13,CréneauxA,3,0),"")</f>
        <v/>
      </c>
      <c r="J13" s="3" t="str">
        <f>IF(ISNUMBER($G13),Vlookup($G13,CréneauxA,4,0)&amp;"h","")</f>
        <v/>
      </c>
      <c r="K13" s="3" t="str">
        <f>IF(ISNUMBER($G13),Vlookup($G13,CréneauxA,2,0),"")</f>
        <v/>
      </c>
      <c r="L13" s="65" t="str">
        <f>IF(ISNUMBER($G13),VLOOKUP($G13,CréneauxM,5,0),"")</f>
        <v/>
      </c>
    </row>
    <row r="14">
      <c r="A14" s="4"/>
      <c r="B14" s="4" t="str">
        <f>Vlookup($G$6,TPInfo,MATCH($B$5,Semaines,0),0)</f>
        <v/>
      </c>
      <c r="C14" s="24" t="str">
        <f>IF(ISNUMBER($B14),"TP Info :","")</f>
        <v/>
      </c>
      <c r="D14" s="64" t="str">
        <f t="shared" si="1"/>
        <v/>
      </c>
      <c r="E14" s="65" t="str">
        <f t="shared" si="2"/>
        <v/>
      </c>
      <c r="G14" s="4" t="str">
        <f>Vlookup($I$4,CollesS,MATCH($B$5,Semaines,0),0)</f>
        <v/>
      </c>
      <c r="H14" s="24" t="str">
        <f>IF(ISNUMBER($G14),"SI :","")</f>
        <v/>
      </c>
      <c r="I14" s="66" t="str">
        <f>IF(ISNUMBER($G14),$D$5+Vlookup($G14,CréneauxS,3,0),"")</f>
        <v/>
      </c>
      <c r="J14" s="3" t="str">
        <f>IF(ISNUMBER($G14),Vlookup($G14,CréneauxS,4,0)&amp;"h","")</f>
        <v/>
      </c>
      <c r="K14" s="3" t="str">
        <f>IF(ISNUMBER($G14),Vlookup($G14,CréneauxS,2,0),"")</f>
        <v/>
      </c>
      <c r="L14" s="65" t="str">
        <f>IF(ISNUMBER($G14),VLOOKUP($G14,CréneauxM,5,0),"")</f>
        <v/>
      </c>
    </row>
    <row r="15">
      <c r="A15" s="4"/>
      <c r="B15" s="4" t="str">
        <f>Vlookup($G$5,TDChimie,MATCH($B$5,Semaines,0),0)</f>
        <v/>
      </c>
      <c r="C15" s="69" t="str">
        <f>IF(ISNUMBER($B15),"TD Chimie :","")</f>
        <v/>
      </c>
      <c r="D15" s="70" t="str">
        <f>IF(ISNUMBER($B15),$D$5+2,"")</f>
        <v/>
      </c>
      <c r="E15" s="71" t="str">
        <f t="shared" si="2"/>
        <v/>
      </c>
      <c r="G15" s="4">
        <f>Vlookup($I$4,CollesP,MATCH($B$5,Semaines,0),0)</f>
        <v>3</v>
      </c>
      <c r="H15" s="24" t="str">
        <f>IF(ISNUMBER($G15),"Physique :","")</f>
        <v>Physique :</v>
      </c>
      <c r="I15" s="66">
        <f>IF(ISNUMBER($G15),$D$5+Vlookup($G15,CréneauxP,3,0),"")</f>
        <v>46286</v>
      </c>
      <c r="J15" s="3" t="str">
        <f>IF(ISNUMBER($G15),Vlookup($G15,CréneauxP,4,0)&amp;"h","")</f>
        <v>17h</v>
      </c>
      <c r="K15" s="3" t="str">
        <f>IF(ISNUMBER($G15),Vlookup($G15,CréneauxP,2,0),"")</f>
        <v>Mme Pampana</v>
      </c>
      <c r="L15" s="65" t="str">
        <f>IF(ISNUMBER($G15),VLOOKUP($G15,CréneauxM,5,0),"")</f>
        <v>Prépa 22</v>
      </c>
    </row>
    <row r="16">
      <c r="A16" s="4"/>
      <c r="G16" s="4">
        <f>Vlookup($I$4,CollesC,MATCH($B$5,Semaines,0),0)</f>
        <v>3</v>
      </c>
      <c r="H16" s="24" t="str">
        <f>IF(ISNUMBER($G16),"Chimie :","")</f>
        <v>Chimie :</v>
      </c>
      <c r="I16" s="66">
        <f>IF(ISNUMBER($G16),$D$5+Vlookup($G16,CréneauxC,3,0),"")</f>
        <v>46289</v>
      </c>
      <c r="J16" s="3" t="str">
        <f>IF(ISNUMBER($G16),Vlookup($G16,CréneauxC,4,0)&amp;"h","")</f>
        <v>14h</v>
      </c>
      <c r="K16" s="3" t="str">
        <f>IF(ISNUMBER($G16),Vlookup($G16,CréneauxC,2,0),"")</f>
        <v>M. Roisin</v>
      </c>
      <c r="L16" s="65" t="str">
        <f>IF(ISNUMBER($G16),VLOOKUP($G16,CréneauxM,5,0),"")</f>
        <v>Prépa 22</v>
      </c>
    </row>
    <row r="17">
      <c r="A17" s="4"/>
      <c r="G17" s="4" t="str">
        <f>Vlookup($I$4,CollesF,MATCH($B$5,Semaines,0),0)</f>
        <v/>
      </c>
      <c r="H17" s="69" t="str">
        <f>IF(ISNUMBER($G17),"Français :","")</f>
        <v/>
      </c>
      <c r="I17" s="73" t="str">
        <f>IF(ISNUMBER($G17),$D$5+Vlookup($G17,CréneauxF,3,0),"")</f>
        <v/>
      </c>
      <c r="J17" s="75" t="str">
        <f>IF(ISNUMBER($G17),Vlookup($G17,CréneauxF,4,0)&amp;"h","")</f>
        <v/>
      </c>
      <c r="K17" s="75" t="str">
        <f>IF(ISNUMBER($G17),Vlookup($G17,CréneauxF,2,0),"")</f>
        <v/>
      </c>
      <c r="L17" s="71" t="str">
        <f>IF(ISNUMBER($G17),VLOOKUP($G17,CréneauxM,5,0),"")</f>
        <v/>
      </c>
    </row>
  </sheetData>
  <mergeCells count="2">
    <mergeCell ref="D4:F4"/>
    <mergeCell ref="D5:F5"/>
  </mergeCells>
  <dataValidations>
    <dataValidation type="list" allowBlank="1" showErrorMessage="1" sqref="D5">
      <formula1>Semaines!$A$2:$A$16</formula1>
    </dataValidation>
    <dataValidation type="list" allowBlank="1" showErrorMessage="1" sqref="D4">
      <formula1>'Trinômes'!$A$2:$A$48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4.13"/>
    <col customWidth="1" min="2" max="2" width="20.13"/>
    <col customWidth="1" min="3" max="3" width="5.88"/>
    <col customWidth="1" min="4" max="4" width="9.0"/>
    <col customWidth="1" min="5" max="5" width="8.0"/>
    <col customWidth="1" min="6" max="6" width="3.38"/>
    <col customWidth="1" min="7" max="7" width="2.25"/>
    <col customWidth="1" min="8" max="8" width="28.38"/>
    <col customWidth="1" min="9" max="9" width="29.88"/>
    <col customWidth="1" min="10" max="10" width="29.38"/>
    <col customWidth="1" min="11" max="11" width="9.25"/>
    <col customWidth="1" min="12" max="12" width="15.13"/>
    <col customWidth="1" min="13" max="13" width="8.75"/>
  </cols>
  <sheetData>
    <row r="1">
      <c r="A1" s="1"/>
      <c r="B1" s="4" t="s">
        <v>1</v>
      </c>
      <c r="C1" s="3" t="s">
        <v>8</v>
      </c>
      <c r="H1" s="3"/>
      <c r="I1" s="4"/>
      <c r="J1" s="3"/>
      <c r="K1" s="1"/>
      <c r="L1" s="1"/>
    </row>
    <row r="2">
      <c r="B2" s="8" t="s">
        <v>9</v>
      </c>
      <c r="C2" s="5" t="s">
        <v>15</v>
      </c>
      <c r="I2" s="4"/>
      <c r="J2" s="11"/>
      <c r="K2" s="1"/>
      <c r="L2" s="1"/>
    </row>
    <row r="3">
      <c r="A3" s="4">
        <f>VLOOKUP($C$3,DatesSemaines,2,0)</f>
        <v>6</v>
      </c>
      <c r="B3" s="4" t="s">
        <v>34</v>
      </c>
      <c r="C3" s="15">
        <v>46300.0</v>
      </c>
      <c r="H3" s="15"/>
      <c r="I3" s="4"/>
      <c r="J3" s="11"/>
      <c r="K3" s="1"/>
      <c r="L3" s="1"/>
    </row>
    <row r="4">
      <c r="G4" s="1"/>
      <c r="H4" s="1"/>
      <c r="I4" s="16"/>
      <c r="K4" s="1"/>
      <c r="L4" s="1"/>
    </row>
    <row r="5">
      <c r="B5" s="19" t="s">
        <v>52</v>
      </c>
      <c r="C5" s="22" t="s">
        <v>64</v>
      </c>
      <c r="D5" s="12" t="s">
        <v>52</v>
      </c>
      <c r="E5" s="22" t="s">
        <v>67</v>
      </c>
      <c r="F5" s="25"/>
      <c r="G5" s="25"/>
      <c r="H5" s="22" t="s">
        <v>0</v>
      </c>
      <c r="I5" s="25"/>
      <c r="J5" s="26"/>
      <c r="K5" s="1"/>
      <c r="L5" s="16"/>
      <c r="N5" s="1"/>
      <c r="O5" s="1"/>
    </row>
    <row r="6">
      <c r="A6" s="30" t="str">
        <f>switch($C$1,'Créneaux'!$E$2,'Créneaux'!D2,'Créneaux'!$E$10,'Créneaux'!D10,'Créneaux'!$E$18,'Créneaux'!D18,'Créneaux'!$E$26,'Créneaux'!D26,'Créneaux'!$E$34,'Créneaux'!D34,'Créneaux'!$E$38,'Créneaux'!D38)</f>
        <v/>
      </c>
      <c r="B6" s="36" t="str">
        <f>IF(ISNUMBER($F6),switch($C$1,"Mathématiques",$C$3+Vlookup($A6,'Créneaux'!$F$2:$J$9,column('Créneaux'!H$1)-column('Créneaux'!$F$1)+1,0),"Anglais",$C$3+Vlookup($A6,'Créneaux'!$F$10:$J$17,column('Créneaux'!H$1)-column('Créneaux'!$F$1)+1,0),"Physique",$C$3+Vlookup($A6,'Créneaux'!$F$18:$J$25,column('Créneaux'!H$1)-column('Créneaux'!$F$1)+1,0),"Chimie",$C$3+Vlookup($A6,'Créneaux'!$F$26:$J$33,column('Créneaux'!H$1)-column('Créneaux'!$F$1)+1,0),"SI",$C$3+Vlookup($A6,'Créneaux'!$F$34:$J$37,column('Créneaux'!H$1)-column('Créneaux'!$F$1)+1,0),"Français",$C$3+Vlookup($A6,'Créneaux'!$F$38:$J$39,column('Créneaux'!H$1)-column('Créneaux'!$F$1)+1,0)),"")</f>
        <v/>
      </c>
      <c r="C6" s="44" t="str">
        <f>IF(ISNUMBER($F6),switch($C$1,"Mathématiques",Vlookup($A6,'Créneaux'!$F$2:$J$9,column('Créneaux'!I$1)-column('Créneaux'!$F$1)+1,0)&amp;"h","Anglais",Vlookup($A6,'Créneaux'!$F$10:$J$17,column('Créneaux'!I$1)-column('Créneaux'!$F$1)+1,0)&amp;"h","Physique",Vlookup($A6,'Créneaux'!$F$18:$J$25,column('Créneaux'!I$1)-column('Créneaux'!$F$1)+1,0)&amp;"h","Chimie",Vlookup($A6,'Créneaux'!$F$26:$J$33,column('Créneaux'!I$1)-column('Créneaux'!$F$1)+1,0)&amp;"h","SI",Vlookup($A6,'Créneaux'!$F$34:$J$37,column('Créneaux'!I$1)-column('Créneaux'!$F$1)+1,0)&amp;"h","Français",Vlookup($A6,'Créneaux'!$F$38:$J$39,column('Créneaux'!I$1)-column('Créneaux'!$F$1)+1,0)&amp;"h"),"")</f>
        <v/>
      </c>
      <c r="D6" s="51" t="str">
        <f>IF(ISNUMBER($F6),switch($C$1,"Mathématiques",Vlookup($A6,'Créneaux'!$F$2:$J$9,column('Créneaux'!J$1)-column('Créneaux'!$F$1)+1,0),"Anglais",Vlookup($A6,'Créneaux'!$F$10:$J$17,column('Créneaux'!J$1)-column('Créneaux'!$F$1)+1,0),"Physique",Vlookup($A6,'Créneaux'!$F$18:$J$25,column('Créneaux'!J$1)-column('Créneaux'!$F$1)+1,0),"Chimie",Vlookup($A6,'Créneaux'!$F$26:$J$33,column('Créneaux'!J$1)-column('Créneaux'!$F$1)+1,0),"SI",Vlookup($A6,'Créneaux'!$F$34:$J$37,column('Créneaux'!J$1)-column('Créneaux'!$F$1)+1,0),"Français",Vlookup($A6,'Créneaux'!$F$38:$J$39,column('Créneaux'!J$1)-column('Créneaux'!$F$1)+1,0)),"")</f>
        <v/>
      </c>
      <c r="E6" s="54" t="str">
        <f t="shared" ref="E6:E13" si="1">if(isnumber($F6),"Trinôme ","")</f>
        <v/>
      </c>
      <c r="F6" s="54" t="str">
        <f>IF(ISNUMBER($A6),switch($C$1,"Mathématiques",Vlookup($A6,Colloscope!$B$19:$W$26,match($A$3,Colloscope!$B$1:$W$1),0),"Anglais",Vlookup($A6,Colloscope!$B$28:$W$35,match($A$3,Colloscope!$B$1:$W$1),0),"Physique",Vlookup($A6,Colloscope!$B$42:$W$49,match($A$3,Colloscope!$B$1:$W$1),0),"Chimie",Vlookup($A6,Colloscope!$B$51:$W$58,match($A$3,Colloscope!$B$1:$W$1),0),"SI",Vlookup($A6,Colloscope!$B$37:$W$40,match($A$3,Colloscope!$B$1:$W$1),0),"Français",Vlookup($A6,Colloscope!$B$60:$W$61,match($A$3,Colloscope!$B$1:$W$1),0)),"")</f>
        <v/>
      </c>
      <c r="G6" s="54" t="str">
        <f t="shared" ref="G6:G13" si="2">if(isnumber($F6),":","")</f>
        <v/>
      </c>
      <c r="H6" s="54" t="str">
        <f t="array" ref="H6">if(ISNUMBER($F6),indirect("Trinômes!"&amp;address(sumproduct('Trinômes'!$B$2:$B$48=$F6,'Trinômes'!$C$2:$C$48=column(H$6)-COLUMN($H$6)+1,ROW('Trinômes'!$A$2:$A$48)-row('Trinômes'!$A$2)+1)+1,column('Trinômes'!$A$1))),"")</f>
        <v/>
      </c>
      <c r="I6" s="54" t="str">
        <f t="array" ref="I6">if(ISNUMBER($F6),indirect("Trinômes!"&amp;address(sumproduct('Trinômes'!$B$2:$B$48=$F6,'Trinômes'!$C$2:$C$48=column(I$6)-COLUMN($H$6)+1,ROW('Trinômes'!$A$2:$A$48)-row('Trinômes'!$A$2)+1)+1,column('Trinômes'!$A$1))),"")</f>
        <v/>
      </c>
      <c r="J6" s="67" t="str">
        <f t="array" ref="J6">if(ISNUMBER($F6),indirect("Trinômes!"&amp;address(sumproduct('Trinômes'!$B$2:$B$48=$F6,'Trinômes'!$C$2:$C$48=column(J$6)-COLUMN($H$6)+1,ROW('Trinômes'!$A$2:$A$48)-row('Trinômes'!$A$2)+1)+1,column('Trinômes'!$A$1))),"")</f>
        <v/>
      </c>
      <c r="K6" s="1"/>
      <c r="L6" s="16"/>
      <c r="N6" s="1"/>
      <c r="O6" s="1"/>
    </row>
    <row r="7">
      <c r="A7" s="30" t="str">
        <f>switch($C$1,'Créneaux'!$E$2,'Créneaux'!D3,'Créneaux'!$E$10,'Créneaux'!D11,'Créneaux'!$E$18,'Créneaux'!D19,'Créneaux'!$E$26,'Créneaux'!D27,'Créneaux'!$E$34,'Créneaux'!D35,'Créneaux'!$E$38,'Créneaux'!D39)</f>
        <v/>
      </c>
      <c r="B7" s="68" t="str">
        <f>IF(ISNUMBER($F7),switch($C$1,"Mathématiques",$C$3+Vlookup($A7,'Créneaux'!$F$2:$J$9,column('Créneaux'!H$1)-column('Créneaux'!$F$1)+1,0),"Anglais",$C$3+Vlookup($A7,'Créneaux'!$F$10:$J$17,column('Créneaux'!H$1)-column('Créneaux'!$F$1)+1,0),"Physique",$C$3+Vlookup($A7,'Créneaux'!$F$18:$J$25,column('Créneaux'!H$1)-column('Créneaux'!$F$1)+1,0),"Chimie",$C$3+Vlookup($A7,'Créneaux'!$F$26:$J$33,column('Créneaux'!H$1)-column('Créneaux'!$F$1)+1,0),"SI",$C$3+Vlookup($A7,'Créneaux'!$F$34:$J$37,column('Créneaux'!H$1)-column('Créneaux'!$F$1)+1,0),"Français",$C$3+Vlookup($A7,'Créneaux'!$F$38:$J$39,column('Créneaux'!H$1)-column('Créneaux'!$F$1)+1,0)),"")</f>
        <v/>
      </c>
      <c r="C7" s="72" t="str">
        <f>IF(ISNUMBER($F7),switch($C$1,"Mathématiques",Vlookup($A7,'Créneaux'!$F$2:$J$9,column('Créneaux'!I$1)-column('Créneaux'!$F$1)+1,0)&amp;"h","Anglais",Vlookup($A7,'Créneaux'!$F$10:$J$17,column('Créneaux'!I$1)-column('Créneaux'!$F$1)+1,0)&amp;"h","Physique",Vlookup($A7,'Créneaux'!$F$18:$J$25,column('Créneaux'!I$1)-column('Créneaux'!$F$1)+1,0)&amp;"h","Chimie",Vlookup($A7,'Créneaux'!$F$26:$J$33,column('Créneaux'!I$1)-column('Créneaux'!$F$1)+1,0)&amp;"h","SI",Vlookup($A7,'Créneaux'!$F$34:$J$37,column('Créneaux'!I$1)-column('Créneaux'!$F$1)+1,0)&amp;"h","Français",Vlookup($A7,'Créneaux'!$F$38:$J$39,column('Créneaux'!I$1)-column('Créneaux'!$F$1)+1,0)&amp;"h"),"")</f>
        <v/>
      </c>
      <c r="D7" s="74" t="str">
        <f>IF(ISNUMBER($F7),switch($C$1,"Mathématiques",Vlookup($A7,'Créneaux'!$F$2:$J$9,column('Créneaux'!J$1)-column('Créneaux'!$F$1)+1,0),"Anglais",Vlookup($A7,'Créneaux'!$F$10:$J$17,column('Créneaux'!J$1)-column('Créneaux'!$F$1)+1,0),"Physique",Vlookup($A7,'Créneaux'!$F$18:$J$25,column('Créneaux'!J$1)-column('Créneaux'!$F$1)+1,0),"Chimie",Vlookup($A7,'Créneaux'!$F$26:$J$33,column('Créneaux'!J$1)-column('Créneaux'!$F$1)+1,0),"SI",Vlookup($A7,'Créneaux'!$F$34:$J$37,column('Créneaux'!J$1)-column('Créneaux'!$F$1)+1,0),"Français",Vlookup($A7,'Créneaux'!$F$38:$J$39,column('Créneaux'!J$1)-column('Créneaux'!$F$1)+1,0)),"")</f>
        <v/>
      </c>
      <c r="E7" s="30" t="str">
        <f t="shared" si="1"/>
        <v/>
      </c>
      <c r="F7" s="30" t="str">
        <f>IF(ISNUMBER($A7),switch($C$1,"Mathématiques",Vlookup($A7,Colloscope!$B$19:$W$26,match($A$3,Colloscope!$B$1:$W$1),0),"Anglais",Vlookup($A7,Colloscope!$B$28:$W$35,match($A$3,Colloscope!$B$1:$W$1),0),"Physique",Vlookup($A7,Colloscope!$B$42:$W$49,match($A$3,Colloscope!$B$1:$W$1),0),"Chimie",Vlookup($A7,Colloscope!$B$51:$W$58,match($A$3,Colloscope!$B$1:$W$1),0),"SI",Vlookup($A7,Colloscope!$B$37:$W$40,match($A$3,Colloscope!$B$1:$W$1),0),"Français",Vlookup($A7,Colloscope!$B$60:$W$61,match($A$3,Colloscope!$B$1:$W$1),0)),"")</f>
        <v/>
      </c>
      <c r="G7" s="30" t="str">
        <f t="shared" si="2"/>
        <v/>
      </c>
      <c r="H7" s="30" t="str">
        <f t="array" ref="H7">if(ISNUMBER($F7),indirect("Trinômes!"&amp;address(sumproduct('Trinômes'!$B$2:$B$48=$F7,'Trinômes'!$C$2:$C$48=column(H$6)-COLUMN($H$6)+1,ROW('Trinômes'!$A$2:$A$48)-row('Trinômes'!$A$2)+1)+1,column('Trinômes'!$A$1))),"")</f>
        <v/>
      </c>
      <c r="I7" s="30" t="str">
        <f t="array" ref="I7">if(ISNUMBER($F7),indirect("Trinômes!"&amp;address(sumproduct('Trinômes'!$B$2:$B$48=$F7,'Trinômes'!$C$2:$C$48=column(I$6)-COLUMN($H$6)+1,ROW('Trinômes'!$A$2:$A$48)-row('Trinômes'!$A$2)+1)+1,column('Trinômes'!$A$1))),"")</f>
        <v/>
      </c>
      <c r="J7" s="76" t="str">
        <f t="array" ref="J7">if(ISNUMBER($F7),indirect("Trinômes!"&amp;address(sumproduct('Trinômes'!$B$2:$B$48=$F7,'Trinômes'!$C$2:$C$48=column(J$6)-COLUMN($H$6)+1,ROW('Trinômes'!$A$2:$A$48)-row('Trinômes'!$A$2)+1)+1,column('Trinômes'!$A$1))),"")</f>
        <v/>
      </c>
      <c r="K7" s="2"/>
    </row>
    <row r="8">
      <c r="A8" s="30">
        <f>switch($C$1,'Créneaux'!$E$2,'Créneaux'!D4,'Créneaux'!$E$10,'Créneaux'!D12,'Créneaux'!$E$18,'Créneaux'!D20,'Créneaux'!$E$26,'Créneaux'!D28,'Créneaux'!$E$34,'Créneaux'!D36,'Créneaux'!$E$38,'Créneaux'!D40)</f>
        <v>3</v>
      </c>
      <c r="B8" s="68">
        <f>IF(ISNUMBER($F8),switch($C$1,"Mathématiques",$C$3+Vlookup($A8,'Créneaux'!$F$2:$J$9,column('Créneaux'!H$1)-column('Créneaux'!$F$1)+1,0),"Anglais",$C$3+Vlookup($A8,'Créneaux'!$F$10:$J$17,column('Créneaux'!H$1)-column('Créneaux'!$F$1)+1,0),"Physique",$C$3+Vlookup($A8,'Créneaux'!$F$18:$J$25,column('Créneaux'!H$1)-column('Créneaux'!$F$1)+1,0),"Chimie",$C$3+Vlookup($A8,'Créneaux'!$F$26:$J$33,column('Créneaux'!H$1)-column('Créneaux'!$F$1)+1,0),"SI",$C$3+Vlookup($A8,'Créneaux'!$F$34:$J$37,column('Créneaux'!H$1)-column('Créneaux'!$F$1)+1,0),"Français",$C$3+Vlookup($A8,'Créneaux'!$F$38:$J$39,column('Créneaux'!H$1)-column('Créneaux'!$F$1)+1,0)),"")</f>
        <v>46302</v>
      </c>
      <c r="C8" s="72" t="str">
        <f>IF(ISNUMBER($F8),switch($C$1,"Mathématiques",Vlookup($A8,'Créneaux'!$F$2:$J$9,column('Créneaux'!I$1)-column('Créneaux'!$F$1)+1,0)&amp;"h","Anglais",Vlookup($A8,'Créneaux'!$F$10:$J$17,column('Créneaux'!I$1)-column('Créneaux'!$F$1)+1,0)&amp;"h","Physique",Vlookup($A8,'Créneaux'!$F$18:$J$25,column('Créneaux'!I$1)-column('Créneaux'!$F$1)+1,0)&amp;"h","Chimie",Vlookup($A8,'Créneaux'!$F$26:$J$33,column('Créneaux'!I$1)-column('Créneaux'!$F$1)+1,0)&amp;"h","SI",Vlookup($A8,'Créneaux'!$F$34:$J$37,column('Créneaux'!I$1)-column('Créneaux'!$F$1)+1,0)&amp;"h","Français",Vlookup($A8,'Créneaux'!$F$38:$J$39,column('Créneaux'!I$1)-column('Créneaux'!$F$1)+1,0)&amp;"h"),"")</f>
        <v>15h</v>
      </c>
      <c r="D8" s="74" t="str">
        <f>IF(ISNUMBER($F8),switch($C$1,"Mathématiques",Vlookup($A8,'Créneaux'!$F$2:$J$9,column('Créneaux'!J$1)-column('Créneaux'!$F$1)+1,0),"Anglais",Vlookup($A8,'Créneaux'!$F$10:$J$17,column('Créneaux'!J$1)-column('Créneaux'!$F$1)+1,0),"Physique",Vlookup($A8,'Créneaux'!$F$18:$J$25,column('Créneaux'!J$1)-column('Créneaux'!$F$1)+1,0),"Chimie",Vlookup($A8,'Créneaux'!$F$26:$J$33,column('Créneaux'!J$1)-column('Créneaux'!$F$1)+1,0),"SI",Vlookup($A8,'Créneaux'!$F$34:$J$37,column('Créneaux'!J$1)-column('Créneaux'!$F$1)+1,0),"Français",Vlookup($A8,'Créneaux'!$F$38:$J$39,column('Créneaux'!J$1)-column('Créneaux'!$F$1)+1,0)),"")</f>
        <v>Prépa 22</v>
      </c>
      <c r="E8" s="77" t="str">
        <f t="shared" si="1"/>
        <v>Trinôme </v>
      </c>
      <c r="F8" s="1">
        <f>IF(ISNUMBER($A8),switch($C$1,"Mathématiques",Vlookup($A8,Colloscope!$B$19:$W$26,match($A$3,Colloscope!$B$1:$W$1),0),"Anglais",Vlookup($A8,Colloscope!$B$28:$W$35,match($A$3,Colloscope!$B$1:$W$1),0),"Physique",Vlookup($A8,Colloscope!$B$42:$W$49,match($A$3,Colloscope!$B$1:$W$1),0),"Chimie",Vlookup($A8,Colloscope!$B$51:$W$58,match($A$3,Colloscope!$B$1:$W$1),0),"SI",Vlookup($A8,Colloscope!$B$37:$W$40,match($A$3,Colloscope!$B$1:$W$1),0),"Français",Vlookup($A8,Colloscope!$B$60:$W$61,match($A$3,Colloscope!$B$1:$W$1),0)),"")</f>
        <v>5</v>
      </c>
      <c r="G8" s="30" t="str">
        <f t="shared" si="2"/>
        <v>:</v>
      </c>
      <c r="H8" s="30" t="str">
        <f t="array" ref="H8">if(ISNUMBER($F8),indirect("Trinômes!"&amp;address(sumproduct('Trinômes'!$B$2:$B$48=$F8,'Trinômes'!$C$2:$C$48=column(H$6)-COLUMN($H$6)+1,ROW('Trinômes'!$A$2:$A$48)-row('Trinômes'!$A$2)+1)+1,column('Trinômes'!$A$1))),"")</f>
        <v>CONSTANCIAS Lucas</v>
      </c>
      <c r="I8" s="30" t="str">
        <f t="array" ref="I8">if(ISNUMBER($F8),indirect("Trinômes!"&amp;address(sumproduct('Trinômes'!$B$2:$B$48=$F8,'Trinômes'!$C$2:$C$48=column(I$6)-COLUMN($H$6)+1,ROW('Trinômes'!$A$2:$A$48)-row('Trinômes'!$A$2)+1)+1,column('Trinômes'!$A$1))),"")</f>
        <v>DARTOIS Thomas</v>
      </c>
      <c r="J8" s="76" t="str">
        <f t="array" ref="J8">if(ISNUMBER($F8),indirect("Trinômes!"&amp;address(sumproduct('Trinômes'!$B$2:$B$48=$F8,'Trinômes'!$C$2:$C$48=column(J$6)-COLUMN($H$6)+1,ROW('Trinômes'!$A$2:$A$48)-row('Trinômes'!$A$2)+1)+1,column('Trinômes'!$A$1))),"")</f>
        <v>DE SAINT-JEAN Thibault</v>
      </c>
      <c r="K8" s="2"/>
      <c r="L8" s="7"/>
      <c r="M8" s="9"/>
      <c r="N8" s="9"/>
      <c r="O8" s="78"/>
    </row>
    <row r="9">
      <c r="A9" s="30" t="str">
        <f>switch($C$1,'Créneaux'!$E$2,'Créneaux'!D5,'Créneaux'!$E$10,'Créneaux'!D13,'Créneaux'!$E$18,'Créneaux'!D21,'Créneaux'!$E$26,'Créneaux'!D29,'Créneaux'!$E$34,'Créneaux'!D37,'Créneaux'!$E$38,'Créneaux'!D41)</f>
        <v/>
      </c>
      <c r="B9" s="68" t="str">
        <f>IF(ISNUMBER($F9),switch($C$1,"Mathématiques",$C$3+Vlookup($A9,'Créneaux'!$F$2:$J$9,column('Créneaux'!H$1)-column('Créneaux'!$F$1)+1,0),"Anglais",$C$3+Vlookup($A9,'Créneaux'!$F$10:$J$17,column('Créneaux'!H$1)-column('Créneaux'!$F$1)+1,0),"Physique",$C$3+Vlookup($A9,'Créneaux'!$F$18:$J$25,column('Créneaux'!H$1)-column('Créneaux'!$F$1)+1,0),"Chimie",$C$3+Vlookup($A9,'Créneaux'!$F$26:$J$33,column('Créneaux'!H$1)-column('Créneaux'!$F$1)+1,0),"SI",$C$3+Vlookup($A9,'Créneaux'!$F$34:$J$37,column('Créneaux'!H$1)-column('Créneaux'!$F$1)+1,0),"Français",$C$3+Vlookup($A9,'Créneaux'!$F$38:$J$39,column('Créneaux'!H$1)-column('Créneaux'!$F$1)+1,0)),"")</f>
        <v/>
      </c>
      <c r="C9" s="72" t="str">
        <f>IF(ISNUMBER($F9),switch($C$1,"Mathématiques",Vlookup($A9,'Créneaux'!$F$2:$J$9,column('Créneaux'!I$1)-column('Créneaux'!$F$1)+1,0)&amp;"h","Anglais",Vlookup($A9,'Créneaux'!$F$10:$J$17,column('Créneaux'!I$1)-column('Créneaux'!$F$1)+1,0)&amp;"h","Physique",Vlookup($A9,'Créneaux'!$F$18:$J$25,column('Créneaux'!I$1)-column('Créneaux'!$F$1)+1,0)&amp;"h","Chimie",Vlookup($A9,'Créneaux'!$F$26:$J$33,column('Créneaux'!I$1)-column('Créneaux'!$F$1)+1,0)&amp;"h","SI",Vlookup($A9,'Créneaux'!$F$34:$J$37,column('Créneaux'!I$1)-column('Créneaux'!$F$1)+1,0)&amp;"h","Français",Vlookup($A9,'Créneaux'!$F$38:$J$39,column('Créneaux'!I$1)-column('Créneaux'!$F$1)+1,0)&amp;"h"),"")</f>
        <v/>
      </c>
      <c r="D9" s="74" t="str">
        <f>IF(ISNUMBER($F9),switch($C$1,"Mathématiques",Vlookup($A9,'Créneaux'!$F$2:$J$9,column('Créneaux'!J$1)-column('Créneaux'!$F$1)+1,0),"Anglais",Vlookup($A9,'Créneaux'!$F$10:$J$17,column('Créneaux'!J$1)-column('Créneaux'!$F$1)+1,0),"Physique",Vlookup($A9,'Créneaux'!$F$18:$J$25,column('Créneaux'!J$1)-column('Créneaux'!$F$1)+1,0),"Chimie",Vlookup($A9,'Créneaux'!$F$26:$J$33,column('Créneaux'!J$1)-column('Créneaux'!$F$1)+1,0),"SI",Vlookup($A9,'Créneaux'!$F$34:$J$37,column('Créneaux'!J$1)-column('Créneaux'!$F$1)+1,0),"Français",Vlookup($A9,'Créneaux'!$F$38:$J$39,column('Créneaux'!J$1)-column('Créneaux'!$F$1)+1,0)),"")</f>
        <v/>
      </c>
      <c r="E9" s="30" t="str">
        <f t="shared" si="1"/>
        <v/>
      </c>
      <c r="F9" s="30" t="str">
        <f>IF(ISNUMBER($A9),switch($C$1,"Mathématiques",Vlookup($A9,Colloscope!$B$19:$W$26,match($A$3,Colloscope!$B$1:$W$1),0),"Anglais",Vlookup($A9,Colloscope!$B$28:$W$35,match($A$3,Colloscope!$B$1:$W$1),0),"Physique",Vlookup($A9,Colloscope!$B$42:$W$49,match($A$3,Colloscope!$B$1:$W$1),0),"Chimie",Vlookup($A9,Colloscope!$B$51:$W$58,match($A$3,Colloscope!$B$1:$W$1),0),"SI",Vlookup($A9,Colloscope!$B$37:$W$40,match($A$3,Colloscope!$B$1:$W$1),0),"Français",Vlookup($A9,Colloscope!$B$60:$W$61,match($A$3,Colloscope!$B$1:$W$1),0)),"")</f>
        <v/>
      </c>
      <c r="G9" s="30" t="str">
        <f t="shared" si="2"/>
        <v/>
      </c>
      <c r="H9" s="30" t="str">
        <f t="array" ref="H9">if(ISNUMBER($F9),indirect("Trinômes!"&amp;address(sumproduct('Trinômes'!$B$2:$B$48=$F9,'Trinômes'!$C$2:$C$48=column(H$6)-COLUMN($H$6)+1,ROW('Trinômes'!$A$2:$A$48)-row('Trinômes'!$A$2)+1)+1,column('Trinômes'!$A$1))),"")</f>
        <v/>
      </c>
      <c r="I9" s="30" t="str">
        <f t="array" ref="I9">if(ISNUMBER($F9),indirect("Trinômes!"&amp;address(sumproduct('Trinômes'!$B$2:$B$48=$F9,'Trinômes'!$C$2:$C$48=column(I$6)-COLUMN($H$6)+1,ROW('Trinômes'!$A$2:$A$48)-row('Trinômes'!$A$2)+1)+1,column('Trinômes'!$A$1))),"")</f>
        <v/>
      </c>
      <c r="J9" s="76" t="str">
        <f t="array" ref="J9">if(ISNUMBER($F9),indirect("Trinômes!"&amp;address(sumproduct('Trinômes'!$B$2:$B$48=$F9,'Trinômes'!$C$2:$C$48=column(J$6)-COLUMN($H$6)+1,ROW('Trinômes'!$A$2:$A$48)-row('Trinômes'!$A$2)+1)+1,column('Trinômes'!$A$1))),"")</f>
        <v/>
      </c>
      <c r="K9" s="4"/>
      <c r="L9" s="7"/>
      <c r="M9" s="9"/>
      <c r="N9" s="9"/>
      <c r="O9" s="79"/>
      <c r="P9" s="80"/>
    </row>
    <row r="10">
      <c r="A10" s="30" t="str">
        <f>switch($C$1,'Créneaux'!$E$2,'Créneaux'!D6,'Créneaux'!$E$10,'Créneaux'!D14,'Créneaux'!$E$18,'Créneaux'!D22,'Créneaux'!$E$26,'Créneaux'!D30,'Créneaux'!$E$34,'Créneaux'!D38,'Créneaux'!$E$38,'Créneaux'!D42)</f>
        <v/>
      </c>
      <c r="B10" s="68" t="str">
        <f>IF(ISNUMBER($F10),switch($C$1,"Mathématiques",$C$3+Vlookup($A10,'Créneaux'!$F$2:$J$9,column('Créneaux'!H$1)-column('Créneaux'!$F$1)+1,0),"Anglais",$C$3+Vlookup($A10,'Créneaux'!$F$10:$J$17,column('Créneaux'!H$1)-column('Créneaux'!$F$1)+1,0),"Physique",$C$3+Vlookup($A10,'Créneaux'!$F$18:$J$25,column('Créneaux'!H$1)-column('Créneaux'!$F$1)+1,0),"Chimie",$C$3+Vlookup($A10,'Créneaux'!$F$26:$J$33,column('Créneaux'!H$1)-column('Créneaux'!$F$1)+1,0),"SI",$C$3+Vlookup($A10,'Créneaux'!$F$34:$J$37,column('Créneaux'!H$1)-column('Créneaux'!$F$1)+1,0),"Français",$C$3+Vlookup($A10,'Créneaux'!$F$38:$J$39,column('Créneaux'!H$1)-column('Créneaux'!$F$1)+1,0)),"")</f>
        <v/>
      </c>
      <c r="C10" s="72" t="str">
        <f>IF(ISNUMBER($F10),switch($C$1,"Mathématiques",Vlookup($A10,'Créneaux'!$F$2:$J$9,column('Créneaux'!I$1)-column('Créneaux'!$F$1)+1,0)&amp;"h","Anglais",Vlookup($A10,'Créneaux'!$F$10:$J$17,column('Créneaux'!I$1)-column('Créneaux'!$F$1)+1,0)&amp;"h","Physique",Vlookup($A10,'Créneaux'!$F$18:$J$25,column('Créneaux'!I$1)-column('Créneaux'!$F$1)+1,0)&amp;"h","Chimie",Vlookup($A10,'Créneaux'!$F$26:$J$33,column('Créneaux'!I$1)-column('Créneaux'!$F$1)+1,0)&amp;"h","SI",Vlookup($A10,'Créneaux'!$F$34:$J$37,column('Créneaux'!I$1)-column('Créneaux'!$F$1)+1,0)&amp;"h","Français",Vlookup($A10,'Créneaux'!$F$38:$J$39,column('Créneaux'!I$1)-column('Créneaux'!$F$1)+1,0)&amp;"h"),"")</f>
        <v/>
      </c>
      <c r="D10" s="74" t="str">
        <f>IF(ISNUMBER($F10),switch($C$1,"Mathématiques",Vlookup($A10,'Créneaux'!$F$2:$J$9,column('Créneaux'!J$1)-column('Créneaux'!$F$1)+1,0),"Anglais",Vlookup($A10,'Créneaux'!$F$10:$J$17,column('Créneaux'!J$1)-column('Créneaux'!$F$1)+1,0),"Physique",Vlookup($A10,'Créneaux'!$F$18:$J$25,column('Créneaux'!J$1)-column('Créneaux'!$F$1)+1,0),"Chimie",Vlookup($A10,'Créneaux'!$F$26:$J$33,column('Créneaux'!J$1)-column('Créneaux'!$F$1)+1,0),"SI",Vlookup($A10,'Créneaux'!$F$34:$J$37,column('Créneaux'!J$1)-column('Créneaux'!$F$1)+1,0),"Français",Vlookup($A10,'Créneaux'!$F$38:$J$39,column('Créneaux'!J$1)-column('Créneaux'!$F$1)+1,0)),"")</f>
        <v/>
      </c>
      <c r="E10" s="30" t="str">
        <f t="shared" si="1"/>
        <v/>
      </c>
      <c r="F10" s="30" t="str">
        <f>IF(ISNUMBER($A10),switch($C$1,"Mathématiques",Vlookup($A10,Colloscope!$B$19:$W$26,match($A$3,Colloscope!$B$1:$W$1),0),"Anglais",Vlookup($A10,Colloscope!$B$28:$W$35,match($A$3,Colloscope!$B$1:$W$1),0),"Physique",Vlookup($A10,Colloscope!$B$42:$W$49,match($A$3,Colloscope!$B$1:$W$1),0),"Chimie",Vlookup($A10,Colloscope!$B$51:$W$58,match($A$3,Colloscope!$B$1:$W$1),0),"SI",Vlookup($A10,Colloscope!$B$37:$W$40,match($A$3,Colloscope!$B$1:$W$1),0),"Français",Vlookup($A10,Colloscope!$B$60:$W$61,match($A$3,Colloscope!$B$1:$W$1),0)),"")</f>
        <v/>
      </c>
      <c r="G10" s="30" t="str">
        <f t="shared" si="2"/>
        <v/>
      </c>
      <c r="H10" s="30" t="str">
        <f t="array" ref="H10">if(ISNUMBER($F10),indirect("Trinômes!"&amp;address(sumproduct('Trinômes'!$B$2:$B$48=$F10,'Trinômes'!$C$2:$C$48=column(H$6)-COLUMN($H$6)+1,ROW('Trinômes'!$A$2:$A$48)-row('Trinômes'!$A$2)+1)+1,column('Trinômes'!$A$1))),"")</f>
        <v/>
      </c>
      <c r="I10" s="30" t="str">
        <f t="array" ref="I10">if(ISNUMBER($F10),indirect("Trinômes!"&amp;address(sumproduct('Trinômes'!$B$2:$B$48=$F10,'Trinômes'!$C$2:$C$48=column(I$6)-COLUMN($H$6)+1,ROW('Trinômes'!$A$2:$A$48)-row('Trinômes'!$A$2)+1)+1,column('Trinômes'!$A$1))),"")</f>
        <v/>
      </c>
      <c r="J10" s="76" t="str">
        <f t="array" ref="J10">if(ISNUMBER($F10),indirect("Trinômes!"&amp;address(sumproduct('Trinômes'!$B$2:$B$48=$F10,'Trinômes'!$C$2:$C$48=column(J$6)-COLUMN($H$6)+1,ROW('Trinômes'!$A$2:$A$48)-row('Trinômes'!$A$2)+1)+1,column('Trinômes'!$A$1))),"")</f>
        <v/>
      </c>
      <c r="K10" s="4"/>
      <c r="L10" s="4"/>
      <c r="M10" s="66"/>
      <c r="N10" s="3"/>
      <c r="O10" s="3"/>
      <c r="P10" s="3"/>
    </row>
    <row r="11">
      <c r="A11" s="30" t="str">
        <f>switch($C$1,'Créneaux'!$E$2,'Créneaux'!D7,'Créneaux'!$E$10,'Créneaux'!D15,'Créneaux'!$E$18,'Créneaux'!D23,'Créneaux'!$E$26,'Créneaux'!D31,'Créneaux'!$E$34,'Créneaux'!D39,'Créneaux'!$E$38,'Créneaux'!D43)</f>
        <v/>
      </c>
      <c r="B11" s="68" t="str">
        <f>IF(ISNUMBER($F11),switch($C$1,"Mathématiques",$C$3+Vlookup($A11,'Créneaux'!$F$2:$J$9,column('Créneaux'!H$1)-column('Créneaux'!$F$1)+1,0),"Anglais",$C$3+Vlookup($A11,'Créneaux'!$F$10:$J$17,column('Créneaux'!H$1)-column('Créneaux'!$F$1)+1,0),"Physique",$C$3+Vlookup($A11,'Créneaux'!$F$18:$J$25,column('Créneaux'!H$1)-column('Créneaux'!$F$1)+1,0),"Chimie",$C$3+Vlookup($A11,'Créneaux'!$F$26:$J$33,column('Créneaux'!H$1)-column('Créneaux'!$F$1)+1,0),"SI",$C$3+Vlookup($A11,'Créneaux'!$F$34:$J$37,column('Créneaux'!H$1)-column('Créneaux'!$F$1)+1,0),"Français",$C$3+Vlookup($A11,'Créneaux'!$F$38:$J$39,column('Créneaux'!H$1)-column('Créneaux'!$F$1)+1,0)),"")</f>
        <v/>
      </c>
      <c r="C11" s="72" t="str">
        <f>IF(ISNUMBER($F11),switch($C$1,"Mathématiques",Vlookup($A11,'Créneaux'!$F$2:$J$9,column('Créneaux'!I$1)-column('Créneaux'!$F$1)+1,0)&amp;"h","Anglais",Vlookup($A11,'Créneaux'!$F$10:$J$17,column('Créneaux'!I$1)-column('Créneaux'!$F$1)+1,0)&amp;"h","Physique",Vlookup($A11,'Créneaux'!$F$18:$J$25,column('Créneaux'!I$1)-column('Créneaux'!$F$1)+1,0)&amp;"h","Chimie",Vlookup($A11,'Créneaux'!$F$26:$J$33,column('Créneaux'!I$1)-column('Créneaux'!$F$1)+1,0)&amp;"h","SI",Vlookup($A11,'Créneaux'!$F$34:$J$37,column('Créneaux'!I$1)-column('Créneaux'!$F$1)+1,0)&amp;"h","Français",Vlookup($A11,'Créneaux'!$F$38:$J$39,column('Créneaux'!I$1)-column('Créneaux'!$F$1)+1,0)&amp;"h"),"")</f>
        <v/>
      </c>
      <c r="D11" s="74" t="str">
        <f>IF(ISNUMBER($F11),switch($C$1,"Mathématiques",Vlookup($A11,'Créneaux'!$F$2:$J$9,column('Créneaux'!J$1)-column('Créneaux'!$F$1)+1,0),"Anglais",Vlookup($A11,'Créneaux'!$F$10:$J$17,column('Créneaux'!J$1)-column('Créneaux'!$F$1)+1,0),"Physique",Vlookup($A11,'Créneaux'!$F$18:$J$25,column('Créneaux'!J$1)-column('Créneaux'!$F$1)+1,0),"Chimie",Vlookup($A11,'Créneaux'!$F$26:$J$33,column('Créneaux'!J$1)-column('Créneaux'!$F$1)+1,0),"SI",Vlookup($A11,'Créneaux'!$F$34:$J$37,column('Créneaux'!J$1)-column('Créneaux'!$F$1)+1,0),"Français",Vlookup($A11,'Créneaux'!$F$38:$J$39,column('Créneaux'!J$1)-column('Créneaux'!$F$1)+1,0)),"")</f>
        <v/>
      </c>
      <c r="E11" s="30" t="str">
        <f t="shared" si="1"/>
        <v/>
      </c>
      <c r="F11" s="30" t="str">
        <f>IF(ISNUMBER($A11),switch($C$1,"Mathématiques",Vlookup($A11,Colloscope!$B$19:$W$26,match($A$3,Colloscope!$B$1:$W$1),0),"Anglais",Vlookup($A11,Colloscope!$B$28:$W$35,match($A$3,Colloscope!$B$1:$W$1),0),"Physique",Vlookup($A11,Colloscope!$B$42:$W$49,match($A$3,Colloscope!$B$1:$W$1),0),"Chimie",Vlookup($A11,Colloscope!$B$51:$W$58,match($A$3,Colloscope!$B$1:$W$1),0),"SI",Vlookup($A11,Colloscope!$B$37:$W$40,match($A$3,Colloscope!$B$1:$W$1),0),"Français",Vlookup($A11,Colloscope!$B$60:$W$61,match($A$3,Colloscope!$B$1:$W$1),0)),"")</f>
        <v/>
      </c>
      <c r="G11" s="30" t="str">
        <f t="shared" si="2"/>
        <v/>
      </c>
      <c r="H11" s="30" t="str">
        <f t="array" ref="H11">if(ISNUMBER($F11),indirect("Trinômes!"&amp;address(sumproduct('Trinômes'!$B$2:$B$48=$F11,'Trinômes'!$C$2:$C$48=column(H$6)-COLUMN($H$6)+1,ROW('Trinômes'!$A$2:$A$48)-row('Trinômes'!$A$2)+1)+1,column('Trinômes'!$A$1))),"")</f>
        <v/>
      </c>
      <c r="I11" s="30" t="str">
        <f t="array" ref="I11">if(ISNUMBER($F11),indirect("Trinômes!"&amp;address(sumproduct('Trinômes'!$B$2:$B$48=$F11,'Trinômes'!$C$2:$C$48=column(I$6)-COLUMN($H$6)+1,ROW('Trinômes'!$A$2:$A$48)-row('Trinômes'!$A$2)+1)+1,column('Trinômes'!$A$1))),"")</f>
        <v/>
      </c>
      <c r="J11" s="76" t="str">
        <f t="array" ref="J11">if(ISNUMBER($F11),indirect("Trinômes!"&amp;address(sumproduct('Trinômes'!$B$2:$B$48=$F11,'Trinômes'!$C$2:$C$48=column(J$6)-COLUMN($H$6)+1,ROW('Trinômes'!$A$2:$A$48)-row('Trinômes'!$A$2)+1)+1,column('Trinômes'!$A$1))),"")</f>
        <v/>
      </c>
      <c r="K11" s="4"/>
      <c r="L11" s="4"/>
      <c r="M11" s="66"/>
      <c r="N11" s="3"/>
      <c r="O11" s="3"/>
      <c r="P11" s="3"/>
    </row>
    <row r="12">
      <c r="A12" s="30" t="str">
        <f>switch($C$1,'Créneaux'!$E$2,'Créneaux'!D8,'Créneaux'!$E$10,'Créneaux'!D16,'Créneaux'!$E$18,'Créneaux'!D24,'Créneaux'!$E$26,'Créneaux'!D32,'Créneaux'!$E$34,'Créneaux'!D40,'Créneaux'!$E$38,'Créneaux'!D44)</f>
        <v/>
      </c>
      <c r="B12" s="88" t="str">
        <f>IF(ISNUMBER($F12),switch($C$1,"Mathématiques",$C$3+Vlookup($A12,'Créneaux'!$F$2:$J$9,column('Créneaux'!H$1)-column('Créneaux'!$F$1)+1,0),"Anglais",$C$3+Vlookup($A12,'Créneaux'!$F$10:$J$17,column('Créneaux'!H$1)-column('Créneaux'!$F$1)+1,0),"Physique",$C$3+Vlookup($A12,'Créneaux'!$F$18:$J$25,column('Créneaux'!H$1)-column('Créneaux'!$F$1)+1,0),"Chimie",$C$3+Vlookup($A12,'Créneaux'!$F$26:$J$33,column('Créneaux'!H$1)-column('Créneaux'!$F$1)+1,0),"SI",$C$3+Vlookup($A12,'Créneaux'!$F$34:$J$37,column('Créneaux'!H$1)-column('Créneaux'!$F$1)+1,0),"Français",$C$3+Vlookup($A12,'Créneaux'!$F$38:$J$39,column('Créneaux'!H$1)-column('Créneaux'!$F$1)+1,0)),"")</f>
        <v/>
      </c>
      <c r="C12" s="89" t="str">
        <f>IF(ISNUMBER($F12),switch($C$1,"Mathématiques",Vlookup($A12,'Créneaux'!$F$2:$J$9,column('Créneaux'!I$1)-column('Créneaux'!$F$1)+1,0)&amp;"h","Anglais",Vlookup($A12,'Créneaux'!$F$10:$J$17,column('Créneaux'!I$1)-column('Créneaux'!$F$1)+1,0)&amp;"h","Physique",Vlookup($A12,'Créneaux'!$F$18:$J$25,column('Créneaux'!I$1)-column('Créneaux'!$F$1)+1,0)&amp;"h","Chimie",Vlookup($A12,'Créneaux'!$F$26:$J$33,column('Créneaux'!I$1)-column('Créneaux'!$F$1)+1,0)&amp;"h","SI",Vlookup($A12,'Créneaux'!$F$34:$J$37,column('Créneaux'!I$1)-column('Créneaux'!$F$1)+1,0)&amp;"h","Français",Vlookup($A12,'Créneaux'!$F$38:$J$39,column('Créneaux'!I$1)-column('Créneaux'!$F$1)+1,0)&amp;"h"),"")</f>
        <v/>
      </c>
      <c r="D12" s="90" t="str">
        <f>IF(ISNUMBER($F12),switch($C$1,"Mathématiques",Vlookup($A12,'Créneaux'!$F$2:$J$9,column('Créneaux'!J$1)-column('Créneaux'!$F$1)+1,0),"Anglais",Vlookup($A12,'Créneaux'!$F$10:$J$17,column('Créneaux'!J$1)-column('Créneaux'!$F$1)+1,0),"Physique",Vlookup($A12,'Créneaux'!$F$18:$J$25,column('Créneaux'!J$1)-column('Créneaux'!$F$1)+1,0),"Chimie",Vlookup($A12,'Créneaux'!$F$26:$J$33,column('Créneaux'!J$1)-column('Créneaux'!$F$1)+1,0),"SI",Vlookup($A12,'Créneaux'!$F$34:$J$37,column('Créneaux'!J$1)-column('Créneaux'!$F$1)+1,0),"Français",Vlookup($A12,'Créneaux'!$F$38:$J$39,column('Créneaux'!J$1)-column('Créneaux'!$F$1)+1,0)),"")</f>
        <v/>
      </c>
      <c r="E12" s="91" t="str">
        <f t="shared" si="1"/>
        <v/>
      </c>
      <c r="F12" s="91" t="str">
        <f>IF(ISNUMBER($A12),switch($C$1,"Mathématiques",Vlookup($A12,Colloscope!$B$19:$W$26,match($A$3,Colloscope!$B$1:$W$1),0),"Anglais",Vlookup($A12,Colloscope!$B$28:$W$35,match($A$3,Colloscope!$B$1:$W$1),0),"Physique",Vlookup($A12,Colloscope!$B$42:$W$49,match($A$3,Colloscope!$B$1:$W$1),0),"Chimie",Vlookup($A12,Colloscope!$B$51:$W$58,match($A$3,Colloscope!$B$1:$W$1),0),"SI",Vlookup($A12,Colloscope!$B$37:$W$40,match($A$3,Colloscope!$B$1:$W$1),0),"Français",Vlookup($A12,Colloscope!$B$60:$W$61,match($A$3,Colloscope!$B$1:$W$1),0)),"")</f>
        <v/>
      </c>
      <c r="G12" s="91" t="str">
        <f t="shared" si="2"/>
        <v/>
      </c>
      <c r="H12" s="91" t="str">
        <f t="array" ref="H12">if(ISNUMBER($F12),indirect("Trinômes!"&amp;address(sumproduct('Trinômes'!$B$2:$B$48=$F12,'Trinômes'!$C$2:$C$48=column(H$6)-COLUMN($H$6)+1,ROW('Trinômes'!$A$2:$A$48)-row('Trinômes'!$A$2)+1)+1,column('Trinômes'!$A$1))),"")</f>
        <v/>
      </c>
      <c r="I12" s="91" t="str">
        <f t="array" ref="I12">if(ISNUMBER($F12),indirect("Trinômes!"&amp;address(sumproduct('Trinômes'!$B$2:$B$48=$F12,'Trinômes'!$C$2:$C$48=column(I$6)-COLUMN($H$6)+1,ROW('Trinômes'!$A$2:$A$48)-row('Trinômes'!$A$2)+1)+1,column('Trinômes'!$A$1))),"")</f>
        <v/>
      </c>
      <c r="J12" s="102" t="str">
        <f t="array" ref="J12">if(ISNUMBER($F12),indirect("Trinômes!"&amp;address(sumproduct('Trinômes'!$B$2:$B$48=$F12,'Trinômes'!$C$2:$C$48=column(J$6)-COLUMN($H$6)+1,ROW('Trinômes'!$A$2:$A$48)-row('Trinômes'!$A$2)+1)+1,column('Trinômes'!$A$1))),"")</f>
        <v/>
      </c>
      <c r="K12" s="4"/>
      <c r="L12" s="4"/>
      <c r="M12" s="66"/>
      <c r="N12" s="3"/>
      <c r="O12" s="3"/>
      <c r="P12" s="3"/>
    </row>
    <row r="13">
      <c r="A13" s="30" t="str">
        <f>switch($C$1,'Créneaux'!$E$2,'Créneaux'!D9,'Créneaux'!$E$10,'Créneaux'!D17,'Créneaux'!$E$18,'Créneaux'!D25,'Créneaux'!$E$26,'Créneaux'!D33,'Créneaux'!$E$34,'Créneaux'!D41,'Créneaux'!$E$38,'Créneaux'!D45)</f>
        <v/>
      </c>
      <c r="B13" s="68" t="str">
        <f>IF(ISNUMBER($F13),switch($C$1,"Mathématiques",$C$3+Vlookup($A13,'Créneaux'!$F$2:$J$9,column('Créneaux'!H$1)-column('Créneaux'!$F$1)+1,0),"Anglais",$C$3+Vlookup($A13,'Créneaux'!$F$10:$J$17,column('Créneaux'!H$1)-column('Créneaux'!$F$1)+1,0),"Physique",$C$3+Vlookup($A13,'Créneaux'!$F$18:$J$25,column('Créneaux'!H$1)-column('Créneaux'!$F$1)+1,0),"Chimie",$C$3+Vlookup($A13,'Créneaux'!$F$26:$J$33,column('Créneaux'!H$1)-column('Créneaux'!$F$1)+1,0),"SI",$C$3+Vlookup($A13,'Créneaux'!$F$34:$J$37,column('Créneaux'!H$1)-column('Créneaux'!$F$1)+1,0),"Français",$C$3+Vlookup($A13,'Créneaux'!$F$38:$J$39,column('Créneaux'!H$1)-column('Créneaux'!$F$1)+1,0)),"")</f>
        <v/>
      </c>
      <c r="C13" s="72" t="str">
        <f>IF(ISNUMBER($F13),switch($C$1,"Mathématiques",Vlookup($A13,'Créneaux'!$F$2:$J$9,column('Créneaux'!I$1)-column('Créneaux'!$F$1)+1,0)&amp;"h","Anglais",Vlookup($A13,'Créneaux'!$F$10:$J$17,column('Créneaux'!I$1)-column('Créneaux'!$F$1)+1,0)&amp;"h","Physique",Vlookup($A13,'Créneaux'!$F$18:$J$25,column('Créneaux'!I$1)-column('Créneaux'!$F$1)+1,0)&amp;"h","Chimie",Vlookup($A13,'Créneaux'!$F$26:$J$33,column('Créneaux'!I$1)-column('Créneaux'!$F$1)+1,0)&amp;"h","SI",Vlookup($A13,'Créneaux'!$F$34:$J$37,column('Créneaux'!I$1)-column('Créneaux'!$F$1)+1,0)&amp;"h","Français",Vlookup($A13,'Créneaux'!$F$38:$J$39,column('Créneaux'!I$1)-column('Créneaux'!$F$1)+1,0)&amp;"h"),"")</f>
        <v/>
      </c>
      <c r="D13" s="72" t="str">
        <f>IF(ISNUMBER($F13),switch($C$1,"Mathématiques",Vlookup($A13,'Créneaux'!$F$2:$J$9,column('Créneaux'!J$1)-column('Créneaux'!$F$1)+1,0),"Anglais",Vlookup($A13,'Créneaux'!$F$10:$J$17,column('Créneaux'!J$1)-column('Créneaux'!$F$1)+1,0),"Physique",Vlookup($A13,'Créneaux'!$F$18:$J$25,column('Créneaux'!J$1)-column('Créneaux'!$F$1)+1,0),"Chimie",Vlookup($A13,'Créneaux'!$F$26:$J$33,column('Créneaux'!J$1)-column('Créneaux'!$F$1)+1,0),"SI",Vlookup($A13,'Créneaux'!$F$34:$J$37,column('Créneaux'!J$1)-column('Créneaux'!$F$1)+1,0),"Français",Vlookup($A13,'Créneaux'!$F$38:$J$39,column('Créneaux'!J$1)-column('Créneaux'!$F$1)+1,0)),"")</f>
        <v/>
      </c>
      <c r="E13" s="30" t="str">
        <f t="shared" si="1"/>
        <v/>
      </c>
      <c r="F13" s="30" t="str">
        <f>IF(ISNUMBER($A13),switch($C$1,"Mathématiques",Vlookup($A13,Colloscope!$B$19:$W$26,match($A$3,Colloscope!$B$1:$W$1),0),"Anglais",Vlookup($A13,Colloscope!$B$28:$W$35,match($A$3,Colloscope!$B$1:$W$1),0),"Physique",Vlookup($A13,Colloscope!$B$42:$W$49,match($A$3,Colloscope!$B$1:$W$1),0),"Chimie",Vlookup($A13,Colloscope!$B$51:$W$58,match($A$3,Colloscope!$B$1:$W$1),0),"SI",Vlookup($A13,Colloscope!$B$37:$W$40,match($A$3,Colloscope!$B$1:$W$1),0),"Français",Vlookup($A13,Colloscope!$B$60:$W$61,match($A$3,Colloscope!$B$1:$W$1),0)),"")</f>
        <v/>
      </c>
      <c r="G13" s="30" t="str">
        <f t="shared" si="2"/>
        <v/>
      </c>
      <c r="H13" s="30" t="str">
        <f t="array" ref="H13">if(ISNUMBER($F13),indirect("Trinômes!"&amp;address(sumproduct('Trinômes'!$B$2:$B$48=$F13,'Trinômes'!$C$2:$C$48=column(H$6)-COLUMN($H$6)+1,ROW('Trinômes'!$A$2:$A$48)-row('Trinômes'!$A$2)+1)+1,column('Trinômes'!$A$1))),"")</f>
        <v/>
      </c>
      <c r="I13" s="30" t="str">
        <f t="array" ref="I13">if(ISNUMBER($F13),indirect("Trinômes!"&amp;address(sumproduct('Trinômes'!$B$2:$B$48=$F13,'Trinômes'!$C$2:$C$48=column(I$6)-COLUMN($H$6)+1,ROW('Trinômes'!$A$2:$A$48)-row('Trinômes'!$A$2)+1)+1,column('Trinômes'!$A$1))),"")</f>
        <v/>
      </c>
      <c r="J13" s="30" t="str">
        <f t="array" ref="J13">if(ISNUMBER($F13),indirect("Trinômes!"&amp;address(sumproduct('Trinômes'!$B$2:$B$48=$F13,'Trinômes'!$C$2:$C$48=column(J$6)-COLUMN($H$6)+1,ROW('Trinômes'!$A$2:$A$48)-row('Trinômes'!$A$2)+1)+1,column('Trinômes'!$A$1))),"")</f>
        <v/>
      </c>
      <c r="K13" s="4"/>
      <c r="L13" s="4"/>
      <c r="M13" s="66"/>
      <c r="N13" s="3"/>
      <c r="O13" s="3"/>
      <c r="P13" s="3"/>
    </row>
    <row r="14">
      <c r="G14" s="4"/>
      <c r="H14" s="4"/>
      <c r="I14" s="4"/>
      <c r="J14" s="66"/>
      <c r="K14" s="3"/>
      <c r="L14" s="3"/>
      <c r="M14" s="3"/>
    </row>
    <row r="15">
      <c r="I15" s="4"/>
      <c r="J15" s="66"/>
      <c r="K15" s="3"/>
      <c r="L15" s="3"/>
    </row>
  </sheetData>
  <mergeCells count="3">
    <mergeCell ref="C1:G1"/>
    <mergeCell ref="C2:G2"/>
    <mergeCell ref="C3:G3"/>
  </mergeCells>
  <dataValidations>
    <dataValidation type="list" allowBlank="1" showErrorMessage="1" sqref="C2">
      <formula1>Colleurs</formula1>
    </dataValidation>
    <dataValidation type="list" allowBlank="1" showErrorMessage="1" sqref="C3">
      <formula1>Semaines!$A$2:$A$16</formula1>
    </dataValidation>
    <dataValidation type="list" allowBlank="1" showErrorMessage="1" sqref="C1">
      <formula1>'Créneaux'!$E$2:$E$39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5"/>
    <col customWidth="1" min="3" max="3" width="19.25"/>
    <col customWidth="1" min="5" max="5" width="2.75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F1" s="3" t="s">
        <v>2</v>
      </c>
      <c r="G1" s="3" t="s">
        <v>5</v>
      </c>
      <c r="H1" s="5" t="s">
        <v>6</v>
      </c>
    </row>
    <row r="2">
      <c r="A2" s="3" t="s">
        <v>7</v>
      </c>
      <c r="B2" s="4">
        <v>1.0</v>
      </c>
      <c r="C2" s="1">
        <f t="shared" ref="C2:C48" si="1">COUNTIF($B$2:$B2,"="&amp;$B2)</f>
        <v>1</v>
      </c>
      <c r="D2" s="1"/>
      <c r="F2" s="4">
        <v>1.0</v>
      </c>
      <c r="G2" s="4">
        <v>1.0</v>
      </c>
      <c r="H2" s="5">
        <v>1.0</v>
      </c>
    </row>
    <row r="3">
      <c r="A3" s="3" t="s">
        <v>10</v>
      </c>
      <c r="B3" s="4">
        <v>1.0</v>
      </c>
      <c r="C3" s="1">
        <f t="shared" si="1"/>
        <v>2</v>
      </c>
      <c r="D3" s="1"/>
      <c r="F3" s="4">
        <v>2.0</v>
      </c>
      <c r="G3" s="4">
        <v>1.0</v>
      </c>
      <c r="H3" s="5">
        <v>1.0</v>
      </c>
    </row>
    <row r="4">
      <c r="A4" s="3" t="s">
        <v>11</v>
      </c>
      <c r="B4" s="4">
        <v>1.0</v>
      </c>
      <c r="C4" s="1">
        <f t="shared" si="1"/>
        <v>3</v>
      </c>
      <c r="D4" s="1"/>
      <c r="F4" s="4">
        <v>3.0</v>
      </c>
      <c r="G4" s="4">
        <v>1.0</v>
      </c>
      <c r="H4" s="5">
        <v>1.0</v>
      </c>
    </row>
    <row r="5">
      <c r="A5" s="3" t="s">
        <v>12</v>
      </c>
      <c r="B5" s="4">
        <v>2.0</v>
      </c>
      <c r="C5" s="1">
        <f t="shared" si="1"/>
        <v>1</v>
      </c>
      <c r="D5" s="3"/>
      <c r="F5" s="4">
        <v>4.0</v>
      </c>
      <c r="G5" s="4">
        <v>1.0</v>
      </c>
      <c r="H5" s="5">
        <v>1.0</v>
      </c>
    </row>
    <row r="6">
      <c r="A6" s="3" t="s">
        <v>14</v>
      </c>
      <c r="B6" s="4">
        <v>2.0</v>
      </c>
      <c r="C6" s="1">
        <f t="shared" si="1"/>
        <v>2</v>
      </c>
      <c r="D6" s="1"/>
      <c r="F6" s="4">
        <v>5.0</v>
      </c>
      <c r="G6" s="4">
        <v>1.0</v>
      </c>
      <c r="H6" s="5">
        <v>1.0</v>
      </c>
    </row>
    <row r="7">
      <c r="A7" s="3" t="s">
        <v>16</v>
      </c>
      <c r="B7" s="4">
        <v>2.0</v>
      </c>
      <c r="C7" s="1">
        <f t="shared" si="1"/>
        <v>3</v>
      </c>
      <c r="D7" s="1"/>
      <c r="F7" s="4">
        <v>6.0</v>
      </c>
      <c r="G7" s="4">
        <v>1.0</v>
      </c>
      <c r="H7" s="5">
        <v>1.0</v>
      </c>
    </row>
    <row r="8">
      <c r="A8" s="3" t="s">
        <v>17</v>
      </c>
      <c r="B8" s="4">
        <v>3.0</v>
      </c>
      <c r="C8" s="1">
        <f t="shared" si="1"/>
        <v>1</v>
      </c>
      <c r="D8" s="1"/>
      <c r="F8" s="4">
        <v>7.0</v>
      </c>
      <c r="G8" s="4">
        <v>1.0</v>
      </c>
      <c r="H8" s="5">
        <v>2.0</v>
      </c>
    </row>
    <row r="9">
      <c r="A9" s="3" t="s">
        <v>18</v>
      </c>
      <c r="B9" s="4">
        <v>3.0</v>
      </c>
      <c r="C9" s="1">
        <f t="shared" si="1"/>
        <v>2</v>
      </c>
      <c r="D9" s="3"/>
      <c r="F9" s="4">
        <v>8.0</v>
      </c>
      <c r="G9" s="4">
        <v>1.0</v>
      </c>
      <c r="H9" s="5">
        <v>2.0</v>
      </c>
    </row>
    <row r="10">
      <c r="A10" s="3" t="s">
        <v>19</v>
      </c>
      <c r="B10" s="4">
        <v>3.0</v>
      </c>
      <c r="C10" s="1">
        <f t="shared" si="1"/>
        <v>3</v>
      </c>
      <c r="D10" s="1"/>
      <c r="F10" s="4">
        <v>9.0</v>
      </c>
      <c r="G10" s="4">
        <v>2.0</v>
      </c>
      <c r="H10" s="5">
        <v>2.0</v>
      </c>
    </row>
    <row r="11">
      <c r="A11" s="3" t="s">
        <v>20</v>
      </c>
      <c r="B11" s="4">
        <v>4.0</v>
      </c>
      <c r="C11" s="1">
        <f t="shared" si="1"/>
        <v>1</v>
      </c>
      <c r="D11" s="1"/>
      <c r="F11" s="4">
        <v>10.0</v>
      </c>
      <c r="G11" s="4">
        <v>2.0</v>
      </c>
      <c r="H11" s="5">
        <v>2.0</v>
      </c>
    </row>
    <row r="12">
      <c r="A12" s="3" t="s">
        <v>21</v>
      </c>
      <c r="B12" s="4">
        <v>4.0</v>
      </c>
      <c r="C12" s="1">
        <f t="shared" si="1"/>
        <v>2</v>
      </c>
      <c r="D12" s="1"/>
      <c r="F12" s="4">
        <v>11.0</v>
      </c>
      <c r="G12" s="4">
        <v>2.0</v>
      </c>
      <c r="H12" s="5">
        <v>2.0</v>
      </c>
    </row>
    <row r="13">
      <c r="A13" s="3" t="s">
        <v>22</v>
      </c>
      <c r="B13" s="4">
        <v>4.0</v>
      </c>
      <c r="C13" s="1">
        <f t="shared" si="1"/>
        <v>3</v>
      </c>
      <c r="D13" s="1"/>
      <c r="F13" s="4">
        <v>12.0</v>
      </c>
      <c r="G13" s="4">
        <v>2.0</v>
      </c>
      <c r="H13" s="5">
        <v>3.0</v>
      </c>
    </row>
    <row r="14">
      <c r="A14" s="3" t="s">
        <v>23</v>
      </c>
      <c r="B14" s="4">
        <v>15.0</v>
      </c>
      <c r="C14" s="1">
        <f t="shared" si="1"/>
        <v>1</v>
      </c>
      <c r="D14" s="3" t="s">
        <v>24</v>
      </c>
      <c r="F14" s="4">
        <v>13.0</v>
      </c>
      <c r="G14" s="4">
        <v>2.0</v>
      </c>
      <c r="H14" s="5">
        <v>3.0</v>
      </c>
    </row>
    <row r="15">
      <c r="A15" s="3" t="s">
        <v>25</v>
      </c>
      <c r="B15" s="4">
        <v>5.0</v>
      </c>
      <c r="C15" s="1">
        <f t="shared" si="1"/>
        <v>1</v>
      </c>
      <c r="D15" s="1"/>
      <c r="F15" s="4">
        <v>14.0</v>
      </c>
      <c r="G15" s="4">
        <v>2.0</v>
      </c>
      <c r="H15" s="5">
        <v>3.0</v>
      </c>
    </row>
    <row r="16">
      <c r="A16" s="3" t="s">
        <v>26</v>
      </c>
      <c r="B16" s="4">
        <v>5.0</v>
      </c>
      <c r="C16" s="1">
        <f t="shared" si="1"/>
        <v>2</v>
      </c>
      <c r="D16" s="3"/>
      <c r="F16" s="4">
        <v>15.0</v>
      </c>
      <c r="G16" s="4">
        <v>2.0</v>
      </c>
      <c r="H16" s="5">
        <v>3.0</v>
      </c>
    </row>
    <row r="17">
      <c r="A17" s="3" t="s">
        <v>27</v>
      </c>
      <c r="B17" s="4">
        <v>5.0</v>
      </c>
      <c r="C17" s="1">
        <f t="shared" si="1"/>
        <v>3</v>
      </c>
      <c r="D17" s="1"/>
      <c r="F17" s="4">
        <v>16.0</v>
      </c>
      <c r="G17" s="4">
        <v>2.0</v>
      </c>
      <c r="H17" s="5">
        <v>3.0</v>
      </c>
    </row>
    <row r="18">
      <c r="A18" s="3" t="s">
        <v>28</v>
      </c>
      <c r="B18" s="4">
        <v>6.0</v>
      </c>
      <c r="C18" s="1">
        <f t="shared" si="1"/>
        <v>1</v>
      </c>
      <c r="D18" s="1"/>
    </row>
    <row r="19">
      <c r="A19" s="3" t="s">
        <v>29</v>
      </c>
      <c r="B19" s="4">
        <v>6.0</v>
      </c>
      <c r="C19" s="1">
        <f t="shared" si="1"/>
        <v>2</v>
      </c>
      <c r="D19" s="1"/>
    </row>
    <row r="20">
      <c r="A20" s="3" t="s">
        <v>30</v>
      </c>
      <c r="B20" s="4">
        <v>6.0</v>
      </c>
      <c r="C20" s="1">
        <f t="shared" si="1"/>
        <v>3</v>
      </c>
      <c r="D20" s="1"/>
    </row>
    <row r="21">
      <c r="A21" s="3" t="s">
        <v>31</v>
      </c>
      <c r="B21" s="4">
        <v>7.0</v>
      </c>
      <c r="C21" s="1">
        <f t="shared" si="1"/>
        <v>1</v>
      </c>
      <c r="D21" s="3"/>
    </row>
    <row r="22">
      <c r="A22" s="3" t="s">
        <v>32</v>
      </c>
      <c r="B22" s="4">
        <v>7.0</v>
      </c>
      <c r="C22" s="1">
        <f t="shared" si="1"/>
        <v>2</v>
      </c>
      <c r="D22" s="1"/>
    </row>
    <row r="23">
      <c r="A23" s="3" t="s">
        <v>33</v>
      </c>
      <c r="B23" s="4">
        <v>7.0</v>
      </c>
      <c r="C23" s="1">
        <f t="shared" si="1"/>
        <v>3</v>
      </c>
      <c r="D23" s="3"/>
    </row>
    <row r="24">
      <c r="A24" s="3" t="s">
        <v>35</v>
      </c>
      <c r="B24" s="4">
        <v>8.0</v>
      </c>
      <c r="C24" s="1">
        <f t="shared" si="1"/>
        <v>1</v>
      </c>
      <c r="D24" s="3"/>
    </row>
    <row r="25">
      <c r="A25" s="3" t="s">
        <v>36</v>
      </c>
      <c r="B25" s="4">
        <v>8.0</v>
      </c>
      <c r="C25" s="1">
        <f t="shared" si="1"/>
        <v>2</v>
      </c>
      <c r="D25" s="1"/>
    </row>
    <row r="26">
      <c r="A26" s="3" t="s">
        <v>38</v>
      </c>
      <c r="B26" s="4">
        <v>8.0</v>
      </c>
      <c r="C26" s="1">
        <f t="shared" si="1"/>
        <v>3</v>
      </c>
      <c r="D26" s="1"/>
    </row>
    <row r="27">
      <c r="A27" s="3" t="s">
        <v>39</v>
      </c>
      <c r="B27" s="4">
        <v>9.0</v>
      </c>
      <c r="C27" s="1">
        <f t="shared" si="1"/>
        <v>1</v>
      </c>
      <c r="D27" s="1"/>
    </row>
    <row r="28">
      <c r="A28" s="3" t="s">
        <v>40</v>
      </c>
      <c r="B28" s="4">
        <v>9.0</v>
      </c>
      <c r="C28" s="1">
        <f t="shared" si="1"/>
        <v>2</v>
      </c>
      <c r="D28" s="3"/>
    </row>
    <row r="29">
      <c r="A29" s="3" t="s">
        <v>41</v>
      </c>
      <c r="B29" s="4">
        <v>16.0</v>
      </c>
      <c r="C29" s="1">
        <f t="shared" si="1"/>
        <v>1</v>
      </c>
      <c r="D29" s="3" t="s">
        <v>42</v>
      </c>
    </row>
    <row r="30">
      <c r="A30" s="3" t="s">
        <v>43</v>
      </c>
      <c r="B30" s="4">
        <v>16.0</v>
      </c>
      <c r="C30" s="1">
        <f t="shared" si="1"/>
        <v>2</v>
      </c>
      <c r="D30" s="3" t="s">
        <v>42</v>
      </c>
    </row>
    <row r="31">
      <c r="A31" s="3" t="s">
        <v>44</v>
      </c>
      <c r="B31" s="4">
        <v>10.0</v>
      </c>
      <c r="C31" s="1">
        <f t="shared" si="1"/>
        <v>1</v>
      </c>
      <c r="D31" s="1"/>
    </row>
    <row r="32">
      <c r="A32" s="3" t="s">
        <v>45</v>
      </c>
      <c r="B32" s="4">
        <v>10.0</v>
      </c>
      <c r="C32" s="1">
        <f t="shared" si="1"/>
        <v>2</v>
      </c>
      <c r="D32" s="3"/>
    </row>
    <row r="33">
      <c r="A33" s="3" t="s">
        <v>46</v>
      </c>
      <c r="B33" s="4">
        <v>16.0</v>
      </c>
      <c r="C33" s="1">
        <f t="shared" si="1"/>
        <v>3</v>
      </c>
      <c r="D33" s="3" t="s">
        <v>24</v>
      </c>
    </row>
    <row r="34">
      <c r="A34" s="3" t="s">
        <v>47</v>
      </c>
      <c r="B34" s="4">
        <v>10.0</v>
      </c>
      <c r="C34" s="1">
        <f t="shared" si="1"/>
        <v>3</v>
      </c>
      <c r="D34" s="1"/>
    </row>
    <row r="35">
      <c r="A35" s="3" t="s">
        <v>48</v>
      </c>
      <c r="B35" s="4">
        <v>11.0</v>
      </c>
      <c r="C35" s="1">
        <f t="shared" si="1"/>
        <v>1</v>
      </c>
      <c r="D35" s="3"/>
    </row>
    <row r="36">
      <c r="A36" s="3" t="s">
        <v>49</v>
      </c>
      <c r="B36" s="4">
        <v>11.0</v>
      </c>
      <c r="C36" s="1">
        <f t="shared" si="1"/>
        <v>2</v>
      </c>
      <c r="D36" s="1"/>
    </row>
    <row r="37">
      <c r="A37" s="3" t="s">
        <v>51</v>
      </c>
      <c r="B37" s="4">
        <v>11.0</v>
      </c>
      <c r="C37" s="1">
        <f t="shared" si="1"/>
        <v>3</v>
      </c>
      <c r="D37" s="1"/>
    </row>
    <row r="38">
      <c r="A38" s="3" t="s">
        <v>53</v>
      </c>
      <c r="B38" s="4">
        <v>12.0</v>
      </c>
      <c r="C38" s="1">
        <f t="shared" si="1"/>
        <v>1</v>
      </c>
      <c r="D38" s="1"/>
    </row>
    <row r="39">
      <c r="A39" s="3" t="s">
        <v>54</v>
      </c>
      <c r="B39" s="4">
        <v>12.0</v>
      </c>
      <c r="C39" s="1">
        <f t="shared" si="1"/>
        <v>2</v>
      </c>
      <c r="D39" s="1"/>
    </row>
    <row r="40">
      <c r="A40" s="3" t="s">
        <v>55</v>
      </c>
      <c r="B40" s="4">
        <v>12.0</v>
      </c>
      <c r="C40" s="1">
        <f t="shared" si="1"/>
        <v>3</v>
      </c>
      <c r="D40" s="3"/>
    </row>
    <row r="41">
      <c r="A41" s="3" t="s">
        <v>56</v>
      </c>
      <c r="B41" s="4">
        <v>13.0</v>
      </c>
      <c r="C41" s="1">
        <f t="shared" si="1"/>
        <v>1</v>
      </c>
      <c r="D41" s="1"/>
    </row>
    <row r="42">
      <c r="A42" s="3" t="s">
        <v>57</v>
      </c>
      <c r="B42" s="4">
        <v>13.0</v>
      </c>
      <c r="C42" s="1">
        <f t="shared" si="1"/>
        <v>2</v>
      </c>
      <c r="D42" s="1"/>
    </row>
    <row r="43">
      <c r="A43" s="3" t="s">
        <v>58</v>
      </c>
      <c r="B43" s="4">
        <v>13.0</v>
      </c>
      <c r="C43" s="1">
        <f t="shared" si="1"/>
        <v>3</v>
      </c>
      <c r="D43" s="3"/>
    </row>
    <row r="44">
      <c r="A44" s="3" t="s">
        <v>59</v>
      </c>
      <c r="B44" s="4">
        <v>14.0</v>
      </c>
      <c r="C44" s="1">
        <f t="shared" si="1"/>
        <v>1</v>
      </c>
      <c r="D44" s="1"/>
    </row>
    <row r="45">
      <c r="A45" s="3" t="s">
        <v>60</v>
      </c>
      <c r="B45" s="4">
        <v>14.0</v>
      </c>
      <c r="C45" s="1">
        <f t="shared" si="1"/>
        <v>2</v>
      </c>
      <c r="D45" s="1"/>
    </row>
    <row r="46">
      <c r="A46" s="3" t="s">
        <v>61</v>
      </c>
      <c r="B46" s="4">
        <v>14.0</v>
      </c>
      <c r="C46" s="1">
        <f t="shared" si="1"/>
        <v>3</v>
      </c>
      <c r="D46" s="1"/>
    </row>
    <row r="47">
      <c r="A47" s="3" t="s">
        <v>62</v>
      </c>
      <c r="B47" s="4">
        <v>9.0</v>
      </c>
      <c r="C47" s="1">
        <f t="shared" si="1"/>
        <v>3</v>
      </c>
      <c r="D47" s="1"/>
    </row>
    <row r="48">
      <c r="A48" s="3" t="s">
        <v>63</v>
      </c>
      <c r="B48" s="4">
        <v>15.0</v>
      </c>
      <c r="C48" s="1">
        <f t="shared" si="1"/>
        <v>2</v>
      </c>
      <c r="D48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4</v>
      </c>
      <c r="B1" s="4" t="s">
        <v>76</v>
      </c>
    </row>
    <row r="2">
      <c r="A2" s="3" t="s">
        <v>24</v>
      </c>
      <c r="B2" s="4">
        <v>3.0</v>
      </c>
    </row>
    <row r="3">
      <c r="A3" s="3" t="s">
        <v>42</v>
      </c>
      <c r="B3" s="4">
        <v>3.0</v>
      </c>
    </row>
    <row r="4">
      <c r="A4" s="3" t="s">
        <v>77</v>
      </c>
      <c r="B4" s="4">
        <v>1.0</v>
      </c>
    </row>
    <row r="5">
      <c r="A5" s="1"/>
      <c r="B5" s="1"/>
    </row>
    <row r="6">
      <c r="A6" s="1"/>
      <c r="B6" s="1"/>
    </row>
    <row r="7">
      <c r="A7" s="1"/>
      <c r="B7" s="1"/>
    </row>
    <row r="8">
      <c r="A8" s="1"/>
      <c r="B8" s="1"/>
    </row>
    <row r="9">
      <c r="A9" s="1"/>
      <c r="B9" s="1"/>
    </row>
    <row r="10">
      <c r="A10" s="1"/>
      <c r="B10" s="1"/>
    </row>
    <row r="11">
      <c r="A11" s="1"/>
      <c r="B11" s="1"/>
    </row>
    <row r="12">
      <c r="A12" s="1"/>
      <c r="B12" s="1"/>
    </row>
    <row r="13">
      <c r="A13" s="1"/>
      <c r="B13" s="1"/>
    </row>
    <row r="14">
      <c r="A14" s="1"/>
      <c r="B14" s="1"/>
    </row>
    <row r="15">
      <c r="A15" s="1"/>
      <c r="B15" s="1"/>
    </row>
    <row r="16">
      <c r="A16" s="1"/>
      <c r="B16" s="1"/>
    </row>
    <row r="17">
      <c r="A17" s="1"/>
      <c r="B17" s="1"/>
    </row>
    <row r="18">
      <c r="A18" s="1"/>
      <c r="B18" s="1"/>
    </row>
    <row r="19">
      <c r="A19" s="1"/>
      <c r="B19" s="1"/>
    </row>
    <row r="20">
      <c r="A20" s="1"/>
      <c r="B20" s="1"/>
    </row>
    <row r="21">
      <c r="A21" s="1"/>
      <c r="B21" s="1"/>
    </row>
    <row r="22">
      <c r="A22" s="1"/>
      <c r="B22" s="1"/>
    </row>
    <row r="23">
      <c r="A23" s="1"/>
      <c r="B23" s="1"/>
    </row>
    <row r="24">
      <c r="A24" s="1"/>
      <c r="B24" s="1"/>
    </row>
    <row r="25">
      <c r="A25" s="1"/>
      <c r="B25" s="1"/>
    </row>
    <row r="26">
      <c r="A26" s="1"/>
      <c r="B26" s="1"/>
    </row>
    <row r="27">
      <c r="A27" s="1"/>
      <c r="B27" s="1"/>
    </row>
    <row r="28">
      <c r="A28" s="1"/>
      <c r="B28" s="1"/>
    </row>
    <row r="29">
      <c r="A29" s="1"/>
      <c r="B29" s="1"/>
    </row>
    <row r="30">
      <c r="A30" s="1"/>
      <c r="B30" s="1"/>
    </row>
    <row r="31">
      <c r="A31" s="1"/>
      <c r="B31" s="1"/>
    </row>
    <row r="32">
      <c r="A32" s="1"/>
      <c r="B32" s="1"/>
    </row>
    <row r="33">
      <c r="A33" s="1"/>
      <c r="B33" s="1"/>
    </row>
    <row r="34">
      <c r="A34" s="1"/>
      <c r="B34" s="1"/>
    </row>
    <row r="35">
      <c r="A35" s="1"/>
      <c r="B35" s="1"/>
    </row>
    <row r="36">
      <c r="A36" s="1"/>
      <c r="B36" s="1"/>
    </row>
    <row r="37">
      <c r="A37" s="1"/>
      <c r="B37" s="1"/>
    </row>
    <row r="38">
      <c r="A38" s="1"/>
      <c r="B38" s="1"/>
    </row>
    <row r="39">
      <c r="A39" s="1"/>
      <c r="B39" s="1"/>
    </row>
    <row r="40">
      <c r="A40" s="1"/>
      <c r="B40" s="1"/>
    </row>
    <row r="41">
      <c r="A41" s="1"/>
      <c r="B41" s="1"/>
    </row>
    <row r="42">
      <c r="A42" s="1"/>
      <c r="B42" s="1"/>
    </row>
    <row r="43">
      <c r="A43" s="1"/>
      <c r="B43" s="1"/>
    </row>
    <row r="44">
      <c r="A44" s="1"/>
      <c r="B44" s="1"/>
    </row>
    <row r="45">
      <c r="A45" s="1"/>
      <c r="B45" s="1"/>
    </row>
    <row r="46">
      <c r="A46" s="1"/>
      <c r="B46" s="1"/>
    </row>
    <row r="47">
      <c r="A47" s="1"/>
      <c r="B47" s="1"/>
    </row>
    <row r="48">
      <c r="A48" s="1"/>
      <c r="B48" s="1"/>
    </row>
    <row r="49">
      <c r="A49" s="1"/>
      <c r="B49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50</v>
      </c>
      <c r="B1" s="3" t="s">
        <v>73</v>
      </c>
      <c r="C1" s="3" t="s">
        <v>82</v>
      </c>
    </row>
    <row r="2">
      <c r="A2" s="46">
        <v>46279.0</v>
      </c>
      <c r="B2" s="4">
        <v>3.0</v>
      </c>
      <c r="C2" s="3" t="s">
        <v>83</v>
      </c>
    </row>
    <row r="3">
      <c r="A3" s="46">
        <v>46286.0</v>
      </c>
      <c r="B3" s="4">
        <v>4.0</v>
      </c>
      <c r="C3" s="3" t="s">
        <v>84</v>
      </c>
    </row>
    <row r="4">
      <c r="A4" s="46">
        <v>46293.0</v>
      </c>
      <c r="B4" s="4">
        <v>5.0</v>
      </c>
      <c r="C4" s="3" t="s">
        <v>83</v>
      </c>
    </row>
    <row r="5">
      <c r="A5" s="46">
        <v>46300.0</v>
      </c>
      <c r="B5" s="4">
        <v>6.0</v>
      </c>
      <c r="C5" s="3" t="s">
        <v>84</v>
      </c>
    </row>
    <row r="6">
      <c r="A6" s="46">
        <v>46307.0</v>
      </c>
      <c r="B6" s="4">
        <v>7.0</v>
      </c>
      <c r="C6" s="3" t="s">
        <v>83</v>
      </c>
    </row>
    <row r="7">
      <c r="A7" s="46">
        <v>46328.0</v>
      </c>
      <c r="B7" s="4">
        <v>8.0</v>
      </c>
      <c r="C7" s="3" t="s">
        <v>84</v>
      </c>
    </row>
    <row r="8">
      <c r="A8" s="46">
        <v>46335.0</v>
      </c>
      <c r="B8" s="4">
        <v>9.0</v>
      </c>
      <c r="C8" s="3" t="s">
        <v>83</v>
      </c>
    </row>
    <row r="9">
      <c r="A9" s="46">
        <v>46342.0</v>
      </c>
      <c r="B9" s="4">
        <v>10.0</v>
      </c>
      <c r="C9" s="3" t="s">
        <v>84</v>
      </c>
    </row>
    <row r="10">
      <c r="A10" s="46">
        <v>46349.0</v>
      </c>
      <c r="B10" s="4">
        <v>11.0</v>
      </c>
      <c r="C10" s="3" t="s">
        <v>83</v>
      </c>
    </row>
    <row r="11">
      <c r="A11" s="46">
        <v>46356.0</v>
      </c>
      <c r="B11" s="4">
        <v>12.0</v>
      </c>
      <c r="C11" s="3" t="s">
        <v>84</v>
      </c>
    </row>
    <row r="12">
      <c r="A12" s="46">
        <v>46363.0</v>
      </c>
      <c r="B12" s="4">
        <v>13.0</v>
      </c>
      <c r="C12" s="3" t="s">
        <v>83</v>
      </c>
    </row>
    <row r="13">
      <c r="A13" s="46">
        <v>46370.0</v>
      </c>
      <c r="B13" s="4">
        <v>14.0</v>
      </c>
      <c r="C13" s="3" t="s">
        <v>84</v>
      </c>
    </row>
    <row r="14">
      <c r="A14" s="46">
        <v>46391.0</v>
      </c>
      <c r="B14" s="4">
        <v>15.0</v>
      </c>
      <c r="C14" s="3" t="s">
        <v>83</v>
      </c>
    </row>
    <row r="15">
      <c r="A15" s="46">
        <v>46398.0</v>
      </c>
      <c r="B15" s="4">
        <v>16.0</v>
      </c>
      <c r="C15" s="3" t="s">
        <v>84</v>
      </c>
    </row>
    <row r="16">
      <c r="A16" s="46">
        <v>46405.0</v>
      </c>
      <c r="B16" s="4">
        <v>17.0</v>
      </c>
      <c r="C16" s="3" t="s">
        <v>83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4">
        <v>3.0</v>
      </c>
      <c r="C1" s="4">
        <v>4.0</v>
      </c>
      <c r="D1" s="4">
        <v>5.0</v>
      </c>
      <c r="E1" s="4">
        <v>6.0</v>
      </c>
      <c r="F1" s="4">
        <v>7.0</v>
      </c>
      <c r="G1" s="4"/>
      <c r="H1" s="4">
        <v>8.0</v>
      </c>
      <c r="I1" s="4">
        <v>9.0</v>
      </c>
      <c r="J1" s="4">
        <v>10.0</v>
      </c>
      <c r="K1" s="4">
        <v>11.0</v>
      </c>
      <c r="L1" s="4">
        <v>12.0</v>
      </c>
      <c r="M1" s="4">
        <v>13.0</v>
      </c>
      <c r="N1" s="4">
        <v>14.0</v>
      </c>
      <c r="O1" s="4"/>
      <c r="P1" s="4">
        <v>15.0</v>
      </c>
      <c r="Q1" s="4">
        <v>16.0</v>
      </c>
      <c r="R1" s="4">
        <v>17.0</v>
      </c>
    </row>
    <row r="2">
      <c r="A2" s="5" t="s">
        <v>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>
      <c r="A3" s="4">
        <v>1.0</v>
      </c>
      <c r="B3" s="4">
        <v>8.0</v>
      </c>
      <c r="C3" s="4">
        <v>10.0</v>
      </c>
      <c r="D3" s="4">
        <v>8.0</v>
      </c>
      <c r="E3" s="4">
        <v>10.0</v>
      </c>
      <c r="F3" s="4">
        <v>8.0</v>
      </c>
      <c r="G3" s="4"/>
      <c r="H3" s="4">
        <v>8.0</v>
      </c>
      <c r="I3" s="4">
        <v>10.0</v>
      </c>
      <c r="J3" s="4">
        <v>8.0</v>
      </c>
      <c r="K3" s="4">
        <v>10.0</v>
      </c>
      <c r="L3" s="4">
        <v>8.0</v>
      </c>
      <c r="M3" s="4">
        <v>10.0</v>
      </c>
      <c r="N3" s="4">
        <v>8.0</v>
      </c>
      <c r="O3" s="4"/>
      <c r="P3" s="4">
        <v>10.0</v>
      </c>
      <c r="Q3" s="4">
        <v>8.0</v>
      </c>
      <c r="R3" s="4">
        <v>10.0</v>
      </c>
    </row>
    <row r="4">
      <c r="A4" s="4">
        <v>2.0</v>
      </c>
      <c r="B4" s="4">
        <v>10.0</v>
      </c>
      <c r="C4" s="4">
        <v>8.0</v>
      </c>
      <c r="D4" s="4">
        <v>10.0</v>
      </c>
      <c r="E4" s="4">
        <v>8.0</v>
      </c>
      <c r="F4" s="4">
        <v>10.0</v>
      </c>
      <c r="G4" s="4"/>
      <c r="H4" s="4">
        <v>10.0</v>
      </c>
      <c r="I4" s="4">
        <v>8.0</v>
      </c>
      <c r="J4" s="4">
        <v>10.0</v>
      </c>
      <c r="K4" s="4">
        <v>8.0</v>
      </c>
      <c r="L4" s="4">
        <v>10.0</v>
      </c>
      <c r="M4" s="4">
        <v>8.0</v>
      </c>
      <c r="N4" s="4">
        <v>10.0</v>
      </c>
      <c r="O4" s="4"/>
      <c r="P4" s="4">
        <v>8.0</v>
      </c>
      <c r="Q4" s="4">
        <v>10.0</v>
      </c>
      <c r="R4" s="4">
        <v>8.0</v>
      </c>
    </row>
    <row r="5">
      <c r="A5" s="61" t="s">
        <v>95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</row>
    <row r="6">
      <c r="A6" s="4">
        <v>1.0</v>
      </c>
      <c r="B6" s="4">
        <v>10.0</v>
      </c>
      <c r="C6" s="4">
        <v>8.0</v>
      </c>
      <c r="D6" s="4">
        <v>10.0</v>
      </c>
      <c r="E6" s="4">
        <v>8.0</v>
      </c>
      <c r="F6" s="4">
        <v>10.0</v>
      </c>
      <c r="G6" s="4"/>
      <c r="H6" s="4">
        <v>10.0</v>
      </c>
      <c r="I6" s="4">
        <v>8.0</v>
      </c>
      <c r="J6" s="4">
        <v>10.0</v>
      </c>
      <c r="K6" s="4">
        <v>8.0</v>
      </c>
      <c r="L6" s="4">
        <v>10.0</v>
      </c>
      <c r="M6" s="4">
        <v>8.0</v>
      </c>
      <c r="N6" s="4">
        <v>10.0</v>
      </c>
      <c r="O6" s="4"/>
      <c r="P6" s="4">
        <v>8.0</v>
      </c>
      <c r="Q6" s="4">
        <v>10.0</v>
      </c>
      <c r="R6" s="4">
        <v>8.0</v>
      </c>
    </row>
    <row r="7">
      <c r="A7" s="4">
        <v>2.0</v>
      </c>
      <c r="B7" s="4">
        <v>15.0</v>
      </c>
      <c r="C7" s="4">
        <v>15.0</v>
      </c>
      <c r="D7" s="4">
        <v>15.0</v>
      </c>
      <c r="E7" s="4">
        <v>15.0</v>
      </c>
      <c r="F7" s="4">
        <v>15.0</v>
      </c>
      <c r="G7" s="4"/>
      <c r="H7" s="4">
        <v>15.0</v>
      </c>
      <c r="I7" s="4">
        <v>15.0</v>
      </c>
      <c r="J7" s="4">
        <v>15.0</v>
      </c>
      <c r="K7" s="4">
        <v>15.0</v>
      </c>
      <c r="L7" s="4">
        <v>15.0</v>
      </c>
      <c r="M7" s="4">
        <v>15.0</v>
      </c>
      <c r="N7" s="4">
        <v>15.0</v>
      </c>
      <c r="O7" s="4"/>
      <c r="P7" s="4">
        <v>15.0</v>
      </c>
      <c r="Q7" s="4">
        <v>15.0</v>
      </c>
      <c r="R7" s="4">
        <v>15.0</v>
      </c>
    </row>
    <row r="8">
      <c r="A8" s="4">
        <v>3.0</v>
      </c>
      <c r="B8" s="4">
        <v>8.0</v>
      </c>
      <c r="C8" s="4">
        <v>10.0</v>
      </c>
      <c r="D8" s="4">
        <v>8.0</v>
      </c>
      <c r="E8" s="4">
        <v>10.0</v>
      </c>
      <c r="F8" s="4">
        <v>8.0</v>
      </c>
      <c r="G8" s="4"/>
      <c r="H8" s="4">
        <v>8.0</v>
      </c>
      <c r="I8" s="4">
        <v>10.0</v>
      </c>
      <c r="J8" s="4">
        <v>8.0</v>
      </c>
      <c r="K8" s="4">
        <v>10.0</v>
      </c>
      <c r="L8" s="4">
        <v>8.0</v>
      </c>
      <c r="M8" s="4">
        <v>10.0</v>
      </c>
      <c r="N8" s="4">
        <v>8.0</v>
      </c>
      <c r="O8" s="4"/>
      <c r="P8" s="4">
        <v>10.0</v>
      </c>
      <c r="Q8" s="4">
        <v>8.0</v>
      </c>
      <c r="R8" s="4">
        <v>10.0</v>
      </c>
    </row>
    <row r="9">
      <c r="A9" s="5" t="s">
        <v>96</v>
      </c>
    </row>
    <row r="10">
      <c r="A10" s="4">
        <v>1.0</v>
      </c>
      <c r="B10" s="4">
        <v>15.0</v>
      </c>
      <c r="C10" s="1"/>
      <c r="D10" s="1"/>
      <c r="E10" s="4">
        <v>17.0</v>
      </c>
      <c r="F10" s="4">
        <v>15.0</v>
      </c>
      <c r="G10" s="1"/>
      <c r="H10" s="1"/>
      <c r="I10" s="4">
        <v>15.0</v>
      </c>
      <c r="J10" s="1"/>
      <c r="K10" s="4">
        <v>15.0</v>
      </c>
      <c r="L10" s="1"/>
      <c r="M10" s="1"/>
      <c r="N10" s="4">
        <v>17.0</v>
      </c>
      <c r="O10" s="4"/>
      <c r="P10" s="4">
        <v>15.0</v>
      </c>
      <c r="Q10" s="1"/>
      <c r="R10" s="1"/>
    </row>
    <row r="11">
      <c r="A11" s="4">
        <v>2.0</v>
      </c>
      <c r="B11" s="1"/>
      <c r="C11" s="4">
        <v>17.0</v>
      </c>
      <c r="D11" s="4">
        <v>17.0</v>
      </c>
      <c r="E11" s="1"/>
      <c r="F11" s="1"/>
      <c r="G11" s="4"/>
      <c r="H11" s="4">
        <v>17.0</v>
      </c>
      <c r="I11" s="4">
        <v>17.0</v>
      </c>
      <c r="J11" s="1"/>
      <c r="K11" s="1"/>
      <c r="L11" s="4">
        <v>17.0</v>
      </c>
      <c r="M11" s="4">
        <v>17.0</v>
      </c>
      <c r="N11" s="1"/>
      <c r="O11" s="4"/>
      <c r="P11" s="4">
        <v>17.0</v>
      </c>
      <c r="Q11" s="1"/>
      <c r="R11" s="1"/>
    </row>
    <row r="12">
      <c r="A12" s="4">
        <v>3.0</v>
      </c>
      <c r="B12" s="4">
        <v>17.0</v>
      </c>
      <c r="C12" s="1"/>
      <c r="D12" s="4">
        <v>15.0</v>
      </c>
      <c r="E12" s="1"/>
      <c r="F12" s="4">
        <v>17.0</v>
      </c>
      <c r="G12" s="1"/>
      <c r="H12" s="1"/>
      <c r="I12" s="1"/>
      <c r="J12" s="4">
        <v>17.0</v>
      </c>
      <c r="K12" s="4">
        <v>17.0</v>
      </c>
      <c r="L12" s="1"/>
      <c r="M12" s="4">
        <v>15.0</v>
      </c>
      <c r="N12" s="1"/>
      <c r="O12" s="1"/>
      <c r="P12" s="1"/>
      <c r="Q12" s="4">
        <v>17.0</v>
      </c>
      <c r="R12" s="1"/>
    </row>
    <row r="13">
      <c r="A13" s="5" t="s">
        <v>97</v>
      </c>
    </row>
    <row r="14">
      <c r="A14" s="4">
        <v>1.0</v>
      </c>
      <c r="B14" s="4">
        <v>15.0</v>
      </c>
      <c r="C14" s="1"/>
      <c r="D14" s="4">
        <v>15.0</v>
      </c>
      <c r="E14" s="1"/>
      <c r="F14" s="4"/>
      <c r="G14" s="1"/>
      <c r="H14" s="61">
        <v>15.0</v>
      </c>
      <c r="I14" s="4"/>
      <c r="J14" s="1"/>
      <c r="K14" s="4">
        <v>15.0</v>
      </c>
      <c r="L14" s="1"/>
      <c r="M14" s="4">
        <v>15.0</v>
      </c>
      <c r="N14" s="1"/>
      <c r="O14" s="4"/>
      <c r="P14" s="4">
        <v>15.0</v>
      </c>
      <c r="Q14" s="1"/>
      <c r="R14" s="4">
        <v>15.0</v>
      </c>
    </row>
    <row r="15">
      <c r="A15" s="4">
        <v>2.0</v>
      </c>
      <c r="B15" s="1"/>
      <c r="C15" s="4">
        <v>15.0</v>
      </c>
      <c r="D15" s="1"/>
      <c r="E15" s="4">
        <v>15.0</v>
      </c>
      <c r="F15" s="1"/>
      <c r="G15" s="4"/>
      <c r="H15" s="4"/>
      <c r="I15" s="1"/>
      <c r="J15" s="4">
        <v>15.0</v>
      </c>
      <c r="K15" s="1"/>
      <c r="L15" s="4">
        <v>15.0</v>
      </c>
      <c r="M15" s="1"/>
      <c r="N15" s="4">
        <v>15.0</v>
      </c>
      <c r="O15" s="1"/>
      <c r="P15" s="1"/>
      <c r="Q15" s="4">
        <v>15.0</v>
      </c>
      <c r="R15" s="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sheetData>
    <row r="1">
      <c r="A1" s="1"/>
      <c r="B1" s="1"/>
      <c r="C1" s="4">
        <v>3.0</v>
      </c>
      <c r="D1" s="4">
        <v>4.0</v>
      </c>
      <c r="E1" s="4">
        <v>5.0</v>
      </c>
      <c r="F1" s="4">
        <v>6.0</v>
      </c>
      <c r="G1" s="4">
        <v>7.0</v>
      </c>
      <c r="H1" s="4"/>
      <c r="I1" s="4">
        <v>8.0</v>
      </c>
      <c r="J1" s="4">
        <v>9.0</v>
      </c>
      <c r="K1" s="4">
        <v>10.0</v>
      </c>
      <c r="L1" s="4">
        <v>11.0</v>
      </c>
      <c r="M1" s="4">
        <v>12.0</v>
      </c>
      <c r="N1" s="4">
        <v>13.0</v>
      </c>
      <c r="O1" s="4">
        <v>14.0</v>
      </c>
      <c r="P1" s="4"/>
      <c r="Q1" s="4">
        <v>15.0</v>
      </c>
      <c r="R1" s="4">
        <v>16.0</v>
      </c>
      <c r="S1" s="4">
        <v>17.0</v>
      </c>
    </row>
    <row r="2">
      <c r="A2" s="3" t="s">
        <v>8</v>
      </c>
      <c r="B2" s="4">
        <v>1.0</v>
      </c>
      <c r="C2" s="1"/>
      <c r="D2" s="4">
        <v>1.0</v>
      </c>
      <c r="E2" s="1"/>
      <c r="F2" s="4">
        <v>8.0</v>
      </c>
      <c r="G2" s="1"/>
      <c r="H2" s="4"/>
      <c r="I2" s="4">
        <v>5.0</v>
      </c>
      <c r="J2" s="1"/>
      <c r="K2" s="4">
        <v>8.0</v>
      </c>
      <c r="L2" s="1"/>
      <c r="M2" s="4">
        <v>1.0</v>
      </c>
      <c r="N2" s="1"/>
      <c r="O2" s="4">
        <v>8.0</v>
      </c>
      <c r="P2" s="1"/>
      <c r="Q2" s="1"/>
      <c r="R2" s="1"/>
      <c r="S2" s="4">
        <v>2.0</v>
      </c>
    </row>
    <row r="3">
      <c r="A3" s="3" t="str">
        <f t="shared" ref="A3:A17" si="1">A2</f>
        <v>Mathématiques</v>
      </c>
      <c r="B3" s="4">
        <v>3.0</v>
      </c>
      <c r="C3" s="1"/>
      <c r="D3" s="4">
        <v>3.0</v>
      </c>
      <c r="E3" s="1"/>
      <c r="F3" s="4">
        <v>5.0</v>
      </c>
      <c r="G3" s="1"/>
      <c r="H3" s="4"/>
      <c r="I3" s="4">
        <v>8.0</v>
      </c>
      <c r="J3" s="1"/>
      <c r="K3" s="4">
        <v>5.0</v>
      </c>
      <c r="L3" s="1"/>
      <c r="M3" s="4">
        <v>3.0</v>
      </c>
      <c r="N3" s="1"/>
      <c r="O3" s="4">
        <v>1.0</v>
      </c>
      <c r="P3" s="1"/>
      <c r="Q3" s="1"/>
      <c r="R3" s="1"/>
      <c r="S3" s="4">
        <v>4.0</v>
      </c>
    </row>
    <row r="4">
      <c r="A4" s="3" t="str">
        <f t="shared" si="1"/>
        <v>Mathématiques</v>
      </c>
      <c r="B4" s="4">
        <v>5.0</v>
      </c>
      <c r="C4" s="1"/>
      <c r="D4" s="4">
        <v>8.0</v>
      </c>
      <c r="E4" s="1"/>
      <c r="F4" s="4">
        <v>3.0</v>
      </c>
      <c r="G4" s="1"/>
      <c r="H4" s="4"/>
      <c r="I4" s="4">
        <v>2.0</v>
      </c>
      <c r="J4" s="1"/>
      <c r="K4" s="4">
        <v>3.0</v>
      </c>
      <c r="L4" s="1"/>
      <c r="M4" s="4">
        <v>8.0</v>
      </c>
      <c r="N4" s="1"/>
      <c r="O4" s="4">
        <v>5.0</v>
      </c>
      <c r="P4" s="1"/>
      <c r="Q4" s="1"/>
      <c r="R4" s="1"/>
      <c r="S4" s="4">
        <v>7.0</v>
      </c>
    </row>
    <row r="5">
      <c r="A5" s="3" t="str">
        <f t="shared" si="1"/>
        <v>Mathématiques</v>
      </c>
      <c r="B5" s="4">
        <v>7.0</v>
      </c>
      <c r="C5" s="1"/>
      <c r="D5" s="4">
        <v>5.0</v>
      </c>
      <c r="E5" s="1"/>
      <c r="F5" s="4">
        <v>1.0</v>
      </c>
      <c r="G5" s="1"/>
      <c r="H5" s="4"/>
      <c r="I5" s="4">
        <v>6.0</v>
      </c>
      <c r="J5" s="1"/>
      <c r="K5" s="4">
        <v>1.0</v>
      </c>
      <c r="L5" s="1"/>
      <c r="M5" s="4">
        <v>5.0</v>
      </c>
      <c r="N5" s="1"/>
      <c r="O5" s="4">
        <v>3.0</v>
      </c>
      <c r="P5" s="1"/>
      <c r="Q5" s="1"/>
      <c r="R5" s="1"/>
      <c r="S5" s="4">
        <v>6.0</v>
      </c>
    </row>
    <row r="6">
      <c r="A6" s="3" t="str">
        <f t="shared" si="1"/>
        <v>Mathématiques</v>
      </c>
      <c r="B6" s="4">
        <v>9.0</v>
      </c>
      <c r="C6" s="1"/>
      <c r="D6" s="4">
        <v>6.0</v>
      </c>
      <c r="E6" s="1"/>
      <c r="F6" s="4">
        <v>4.0</v>
      </c>
      <c r="G6" s="1"/>
      <c r="H6" s="4"/>
      <c r="I6" s="4">
        <v>7.0</v>
      </c>
      <c r="J6" s="1"/>
      <c r="K6" s="4">
        <v>2.0</v>
      </c>
      <c r="L6" s="1"/>
      <c r="M6" s="4">
        <v>6.0</v>
      </c>
      <c r="N6" s="1"/>
      <c r="O6" s="4">
        <v>2.0</v>
      </c>
      <c r="P6" s="1"/>
      <c r="Q6" s="1"/>
      <c r="R6" s="1"/>
      <c r="S6" s="4">
        <v>3.0</v>
      </c>
    </row>
    <row r="7">
      <c r="A7" s="3" t="str">
        <f t="shared" si="1"/>
        <v>Mathématiques</v>
      </c>
      <c r="B7" s="4">
        <v>11.0</v>
      </c>
      <c r="C7" s="1"/>
      <c r="D7" s="4">
        <v>4.0</v>
      </c>
      <c r="E7" s="1"/>
      <c r="F7" s="4">
        <v>7.0</v>
      </c>
      <c r="G7" s="1"/>
      <c r="H7" s="4"/>
      <c r="I7" s="4">
        <v>1.0</v>
      </c>
      <c r="J7" s="1"/>
      <c r="K7" s="4">
        <v>7.0</v>
      </c>
      <c r="L7" s="1"/>
      <c r="M7" s="4">
        <v>4.0</v>
      </c>
      <c r="N7" s="1"/>
      <c r="O7" s="4">
        <v>7.0</v>
      </c>
      <c r="P7" s="1"/>
      <c r="Q7" s="1"/>
      <c r="R7" s="1"/>
      <c r="S7" s="4">
        <v>8.0</v>
      </c>
    </row>
    <row r="8">
      <c r="A8" s="3" t="str">
        <f t="shared" si="1"/>
        <v>Mathématiques</v>
      </c>
      <c r="B8" s="4">
        <v>13.0</v>
      </c>
      <c r="C8" s="1"/>
      <c r="D8" s="4">
        <v>7.0</v>
      </c>
      <c r="E8" s="1"/>
      <c r="F8" s="4">
        <v>2.0</v>
      </c>
      <c r="G8" s="1"/>
      <c r="H8" s="4"/>
      <c r="I8" s="4">
        <v>4.0</v>
      </c>
      <c r="J8" s="1"/>
      <c r="K8" s="4">
        <v>4.0</v>
      </c>
      <c r="L8" s="1"/>
      <c r="M8" s="4">
        <v>7.0</v>
      </c>
      <c r="N8" s="1"/>
      <c r="O8" s="4">
        <v>4.0</v>
      </c>
      <c r="P8" s="1"/>
      <c r="Q8" s="1"/>
      <c r="R8" s="1"/>
      <c r="S8" s="4">
        <v>5.0</v>
      </c>
    </row>
    <row r="9">
      <c r="A9" s="3" t="str">
        <f t="shared" si="1"/>
        <v>Mathématiques</v>
      </c>
      <c r="B9" s="4">
        <v>15.0</v>
      </c>
      <c r="C9" s="1"/>
      <c r="D9" s="4">
        <v>2.0</v>
      </c>
      <c r="E9" s="1"/>
      <c r="F9" s="4">
        <v>6.0</v>
      </c>
      <c r="G9" s="1"/>
      <c r="H9" s="4"/>
      <c r="I9" s="4">
        <v>3.0</v>
      </c>
      <c r="J9" s="1"/>
      <c r="K9" s="4">
        <v>6.0</v>
      </c>
      <c r="L9" s="1"/>
      <c r="M9" s="4">
        <v>2.0</v>
      </c>
      <c r="N9" s="1"/>
      <c r="O9" s="4">
        <v>6.0</v>
      </c>
      <c r="P9" s="1"/>
      <c r="Q9" s="1"/>
      <c r="R9" s="1"/>
      <c r="S9" s="4">
        <v>1.0</v>
      </c>
    </row>
    <row r="10">
      <c r="A10" s="3" t="str">
        <f t="shared" si="1"/>
        <v>Mathématiques</v>
      </c>
      <c r="B10" s="4">
        <v>2.0</v>
      </c>
      <c r="C10" s="1"/>
      <c r="D10" s="1"/>
      <c r="E10" s="4">
        <v>6.0</v>
      </c>
      <c r="F10" s="1"/>
      <c r="G10" s="4">
        <v>7.0</v>
      </c>
      <c r="H10" s="1"/>
      <c r="I10" s="1"/>
      <c r="J10" s="4">
        <v>4.0</v>
      </c>
      <c r="K10" s="1"/>
      <c r="L10" s="4">
        <v>2.0</v>
      </c>
      <c r="M10" s="1"/>
      <c r="N10" s="4">
        <v>6.0</v>
      </c>
      <c r="O10" s="1"/>
      <c r="P10" s="1"/>
      <c r="Q10" s="1"/>
      <c r="R10" s="4">
        <v>3.0</v>
      </c>
      <c r="S10" s="1"/>
    </row>
    <row r="11">
      <c r="A11" s="3" t="str">
        <f t="shared" si="1"/>
        <v>Mathématiques</v>
      </c>
      <c r="B11" s="4">
        <v>4.0</v>
      </c>
      <c r="C11" s="1"/>
      <c r="D11" s="1"/>
      <c r="E11" s="4">
        <v>2.0</v>
      </c>
      <c r="F11" s="1"/>
      <c r="G11" s="4">
        <v>6.0</v>
      </c>
      <c r="H11" s="1"/>
      <c r="I11" s="1"/>
      <c r="J11" s="4">
        <v>7.0</v>
      </c>
      <c r="K11" s="1"/>
      <c r="L11" s="4">
        <v>4.0</v>
      </c>
      <c r="M11" s="1"/>
      <c r="N11" s="4">
        <v>2.0</v>
      </c>
      <c r="O11" s="1"/>
      <c r="P11" s="1"/>
      <c r="Q11" s="1"/>
      <c r="R11" s="4">
        <v>1.0</v>
      </c>
      <c r="S11" s="1"/>
    </row>
    <row r="12">
      <c r="A12" s="3" t="str">
        <f t="shared" si="1"/>
        <v>Mathématiques</v>
      </c>
      <c r="B12" s="4">
        <v>6.0</v>
      </c>
      <c r="C12" s="1"/>
      <c r="D12" s="1"/>
      <c r="E12" s="4">
        <v>4.0</v>
      </c>
      <c r="F12" s="1"/>
      <c r="G12" s="4">
        <v>2.0</v>
      </c>
      <c r="H12" s="1"/>
      <c r="I12" s="1"/>
      <c r="J12" s="4">
        <v>6.0</v>
      </c>
      <c r="K12" s="1"/>
      <c r="L12" s="4">
        <v>7.0</v>
      </c>
      <c r="M12" s="1"/>
      <c r="N12" s="4">
        <v>4.0</v>
      </c>
      <c r="O12" s="1"/>
      <c r="P12" s="1"/>
      <c r="Q12" s="1"/>
      <c r="R12" s="4">
        <v>8.0</v>
      </c>
      <c r="S12" s="1"/>
    </row>
    <row r="13">
      <c r="A13" s="3" t="str">
        <f t="shared" si="1"/>
        <v>Mathématiques</v>
      </c>
      <c r="B13" s="4">
        <v>8.0</v>
      </c>
      <c r="C13" s="1"/>
      <c r="D13" s="1"/>
      <c r="E13" s="4">
        <v>7.0</v>
      </c>
      <c r="F13" s="1"/>
      <c r="G13" s="4">
        <v>4.0</v>
      </c>
      <c r="H13" s="1"/>
      <c r="I13" s="1"/>
      <c r="J13" s="4">
        <v>2.0</v>
      </c>
      <c r="K13" s="1"/>
      <c r="L13" s="4">
        <v>6.0</v>
      </c>
      <c r="M13" s="1"/>
      <c r="N13" s="4">
        <v>7.0</v>
      </c>
      <c r="O13" s="1"/>
      <c r="P13" s="1"/>
      <c r="Q13" s="1"/>
      <c r="R13" s="4">
        <v>5.0</v>
      </c>
      <c r="S13" s="1"/>
    </row>
    <row r="14">
      <c r="A14" s="3" t="str">
        <f t="shared" si="1"/>
        <v>Mathématiques</v>
      </c>
      <c r="B14" s="4">
        <v>10.0</v>
      </c>
      <c r="C14" s="1"/>
      <c r="D14" s="1"/>
      <c r="E14" s="4">
        <v>5.0</v>
      </c>
      <c r="F14" s="1"/>
      <c r="G14" s="4">
        <v>3.0</v>
      </c>
      <c r="H14" s="1"/>
      <c r="I14" s="1"/>
      <c r="J14" s="4">
        <v>1.0</v>
      </c>
      <c r="K14" s="1"/>
      <c r="L14" s="4">
        <v>8.0</v>
      </c>
      <c r="M14" s="1"/>
      <c r="N14" s="4">
        <v>3.0</v>
      </c>
      <c r="O14" s="1"/>
      <c r="P14" s="1"/>
      <c r="Q14" s="1"/>
      <c r="R14" s="4">
        <v>4.0</v>
      </c>
      <c r="S14" s="1"/>
    </row>
    <row r="15">
      <c r="A15" s="3" t="str">
        <f t="shared" si="1"/>
        <v>Mathématiques</v>
      </c>
      <c r="B15" s="4">
        <v>12.0</v>
      </c>
      <c r="C15" s="1"/>
      <c r="D15" s="1"/>
      <c r="E15" s="4">
        <v>8.0</v>
      </c>
      <c r="F15" s="1"/>
      <c r="G15" s="4">
        <v>1.0</v>
      </c>
      <c r="H15" s="1"/>
      <c r="I15" s="1"/>
      <c r="J15" s="4">
        <v>8.0</v>
      </c>
      <c r="K15" s="1"/>
      <c r="L15" s="4">
        <v>5.0</v>
      </c>
      <c r="M15" s="1"/>
      <c r="N15" s="4">
        <v>8.0</v>
      </c>
      <c r="O15" s="1"/>
      <c r="P15" s="1"/>
      <c r="Q15" s="1"/>
      <c r="R15" s="4">
        <v>7.0</v>
      </c>
      <c r="S15" s="1"/>
    </row>
    <row r="16">
      <c r="A16" s="3" t="str">
        <f t="shared" si="1"/>
        <v>Mathématiques</v>
      </c>
      <c r="B16" s="4">
        <v>14.0</v>
      </c>
      <c r="C16" s="1"/>
      <c r="D16" s="1"/>
      <c r="E16" s="4">
        <v>1.0</v>
      </c>
      <c r="F16" s="1"/>
      <c r="G16" s="4">
        <v>8.0</v>
      </c>
      <c r="H16" s="1"/>
      <c r="I16" s="1"/>
      <c r="J16" s="4">
        <v>5.0</v>
      </c>
      <c r="K16" s="1"/>
      <c r="L16" s="4">
        <v>3.0</v>
      </c>
      <c r="M16" s="1"/>
      <c r="N16" s="4">
        <v>1.0</v>
      </c>
      <c r="O16" s="1"/>
      <c r="P16" s="1"/>
      <c r="Q16" s="1"/>
      <c r="R16" s="4">
        <v>6.0</v>
      </c>
      <c r="S16" s="1"/>
    </row>
    <row r="17">
      <c r="A17" s="3" t="str">
        <f t="shared" si="1"/>
        <v>Mathématiques</v>
      </c>
      <c r="B17" s="4">
        <v>16.0</v>
      </c>
      <c r="C17" s="1"/>
      <c r="D17" s="1"/>
      <c r="E17" s="4">
        <v>3.0</v>
      </c>
      <c r="F17" s="1"/>
      <c r="G17" s="4">
        <v>5.0</v>
      </c>
      <c r="H17" s="1"/>
      <c r="I17" s="1"/>
      <c r="J17" s="4">
        <v>3.0</v>
      </c>
      <c r="K17" s="1"/>
      <c r="L17" s="4">
        <v>1.0</v>
      </c>
      <c r="M17" s="1"/>
      <c r="N17" s="4">
        <v>5.0</v>
      </c>
      <c r="O17" s="1"/>
      <c r="P17" s="1"/>
      <c r="Q17" s="1"/>
      <c r="R17" s="4">
        <v>2.0</v>
      </c>
      <c r="S17" s="1"/>
    </row>
    <row r="18">
      <c r="A18" s="3" t="s">
        <v>98</v>
      </c>
      <c r="B18" s="4">
        <v>1.0</v>
      </c>
      <c r="C18" s="1"/>
      <c r="D18" s="4">
        <v>8.0</v>
      </c>
      <c r="E18" s="1"/>
      <c r="F18" s="4">
        <v>2.0</v>
      </c>
      <c r="G18" s="1"/>
      <c r="H18" s="4"/>
      <c r="I18" s="4">
        <v>4.0</v>
      </c>
      <c r="J18" s="1"/>
      <c r="K18" s="4">
        <v>2.0</v>
      </c>
      <c r="L18" s="1"/>
      <c r="M18" s="4">
        <v>8.0</v>
      </c>
      <c r="N18" s="1"/>
      <c r="O18" s="4">
        <v>2.0</v>
      </c>
      <c r="P18" s="1"/>
      <c r="Q18" s="1"/>
      <c r="R18" s="1"/>
      <c r="S18" s="4">
        <v>5.0</v>
      </c>
    </row>
    <row r="19">
      <c r="A19" s="3" t="str">
        <f t="shared" ref="A19:A33" si="2">A18</f>
        <v>Anglais</v>
      </c>
      <c r="B19" s="4">
        <v>3.0</v>
      </c>
      <c r="C19" s="1"/>
      <c r="D19" s="4">
        <v>7.0</v>
      </c>
      <c r="E19" s="1"/>
      <c r="F19" s="4">
        <v>3.0</v>
      </c>
      <c r="G19" s="1"/>
      <c r="H19" s="4"/>
      <c r="I19" s="4">
        <v>2.0</v>
      </c>
      <c r="J19" s="1"/>
      <c r="K19" s="4">
        <v>3.0</v>
      </c>
      <c r="L19" s="1"/>
      <c r="M19" s="4">
        <v>7.0</v>
      </c>
      <c r="N19" s="1"/>
      <c r="O19" s="4">
        <v>8.0</v>
      </c>
      <c r="P19" s="1"/>
      <c r="Q19" s="1"/>
      <c r="R19" s="1"/>
      <c r="S19" s="4">
        <v>6.0</v>
      </c>
    </row>
    <row r="20">
      <c r="A20" s="3" t="str">
        <f t="shared" si="2"/>
        <v>Anglais</v>
      </c>
      <c r="B20" s="4">
        <v>5.0</v>
      </c>
      <c r="C20" s="1"/>
      <c r="D20" s="4">
        <v>2.0</v>
      </c>
      <c r="E20" s="1"/>
      <c r="F20" s="4">
        <v>7.0</v>
      </c>
      <c r="G20" s="1"/>
      <c r="H20" s="4"/>
      <c r="I20" s="4">
        <v>8.0</v>
      </c>
      <c r="J20" s="1"/>
      <c r="K20" s="4">
        <v>7.0</v>
      </c>
      <c r="L20" s="1"/>
      <c r="M20" s="4">
        <v>2.0</v>
      </c>
      <c r="N20" s="1"/>
      <c r="O20" s="4">
        <v>3.0</v>
      </c>
      <c r="P20" s="1"/>
      <c r="Q20" s="1"/>
      <c r="R20" s="1"/>
      <c r="S20" s="4">
        <v>4.0</v>
      </c>
    </row>
    <row r="21">
      <c r="A21" s="3" t="str">
        <f t="shared" si="2"/>
        <v>Anglais</v>
      </c>
      <c r="B21" s="4">
        <v>7.0</v>
      </c>
      <c r="C21" s="1"/>
      <c r="D21" s="4">
        <v>3.0</v>
      </c>
      <c r="E21" s="1"/>
      <c r="F21" s="4">
        <v>8.0</v>
      </c>
      <c r="G21" s="1"/>
      <c r="H21" s="4"/>
      <c r="I21" s="4">
        <v>1.0</v>
      </c>
      <c r="J21" s="1"/>
      <c r="K21" s="4">
        <v>8.0</v>
      </c>
      <c r="L21" s="1"/>
      <c r="M21" s="4">
        <v>3.0</v>
      </c>
      <c r="N21" s="1"/>
      <c r="O21" s="4">
        <v>7.0</v>
      </c>
      <c r="P21" s="1"/>
      <c r="Q21" s="1"/>
      <c r="R21" s="1"/>
      <c r="S21" s="4">
        <v>1.0</v>
      </c>
    </row>
    <row r="22">
      <c r="A22" s="3" t="str">
        <f t="shared" si="2"/>
        <v>Anglais</v>
      </c>
      <c r="B22" s="4">
        <v>9.0</v>
      </c>
      <c r="C22" s="1"/>
      <c r="D22" s="4">
        <v>1.0</v>
      </c>
      <c r="E22" s="1"/>
      <c r="F22" s="4">
        <v>6.0</v>
      </c>
      <c r="G22" s="1"/>
      <c r="H22" s="4"/>
      <c r="I22" s="4">
        <v>3.0</v>
      </c>
      <c r="J22" s="1"/>
      <c r="K22" s="4">
        <v>5.0</v>
      </c>
      <c r="L22" s="1"/>
      <c r="M22" s="4">
        <v>1.0</v>
      </c>
      <c r="N22" s="1"/>
      <c r="O22" s="4">
        <v>5.0</v>
      </c>
      <c r="P22" s="1"/>
      <c r="Q22" s="1"/>
      <c r="R22" s="1"/>
      <c r="S22" s="4">
        <v>7.0</v>
      </c>
    </row>
    <row r="23">
      <c r="A23" s="3" t="str">
        <f t="shared" si="2"/>
        <v>Anglais</v>
      </c>
      <c r="B23" s="4">
        <v>11.0</v>
      </c>
      <c r="C23" s="1"/>
      <c r="D23" s="4">
        <v>6.0</v>
      </c>
      <c r="E23" s="1"/>
      <c r="F23" s="4">
        <v>4.0</v>
      </c>
      <c r="G23" s="1"/>
      <c r="H23" s="4"/>
      <c r="I23" s="4">
        <v>5.0</v>
      </c>
      <c r="J23" s="1"/>
      <c r="K23" s="4">
        <v>4.0</v>
      </c>
      <c r="L23" s="1"/>
      <c r="M23" s="4">
        <v>6.0</v>
      </c>
      <c r="N23" s="1"/>
      <c r="O23" s="4">
        <v>4.0</v>
      </c>
      <c r="P23" s="1"/>
      <c r="Q23" s="1"/>
      <c r="R23" s="1"/>
      <c r="S23" s="4">
        <v>2.0</v>
      </c>
    </row>
    <row r="24">
      <c r="A24" s="3" t="str">
        <f t="shared" si="2"/>
        <v>Anglais</v>
      </c>
      <c r="B24" s="4">
        <v>13.0</v>
      </c>
      <c r="C24" s="1"/>
      <c r="D24" s="4">
        <v>4.0</v>
      </c>
      <c r="E24" s="1"/>
      <c r="F24" s="4">
        <v>5.0</v>
      </c>
      <c r="G24" s="1"/>
      <c r="H24" s="4"/>
      <c r="I24" s="4">
        <v>6.0</v>
      </c>
      <c r="J24" s="1"/>
      <c r="K24" s="4">
        <v>6.0</v>
      </c>
      <c r="L24" s="1"/>
      <c r="M24" s="4">
        <v>4.0</v>
      </c>
      <c r="N24" s="1"/>
      <c r="O24" s="4">
        <v>6.0</v>
      </c>
      <c r="P24" s="1"/>
      <c r="Q24" s="1"/>
      <c r="R24" s="1"/>
      <c r="S24" s="4">
        <v>3.0</v>
      </c>
    </row>
    <row r="25">
      <c r="A25" s="3" t="str">
        <f t="shared" si="2"/>
        <v>Anglais</v>
      </c>
      <c r="B25" s="4">
        <v>15.0</v>
      </c>
      <c r="C25" s="1"/>
      <c r="D25" s="4">
        <v>5.0</v>
      </c>
      <c r="E25" s="1"/>
      <c r="F25" s="4">
        <v>1.0</v>
      </c>
      <c r="G25" s="1"/>
      <c r="H25" s="4"/>
      <c r="I25" s="4">
        <v>7.0</v>
      </c>
      <c r="J25" s="1"/>
      <c r="K25" s="4">
        <v>1.0</v>
      </c>
      <c r="L25" s="1"/>
      <c r="M25" s="4">
        <v>5.0</v>
      </c>
      <c r="N25" s="1"/>
      <c r="O25" s="4">
        <v>1.0</v>
      </c>
      <c r="P25" s="1"/>
      <c r="Q25" s="1"/>
      <c r="R25" s="1"/>
      <c r="S25" s="4">
        <v>8.0</v>
      </c>
    </row>
    <row r="26">
      <c r="A26" s="3" t="str">
        <f t="shared" si="2"/>
        <v>Anglais</v>
      </c>
      <c r="B26" s="4">
        <v>2.0</v>
      </c>
      <c r="C26" s="1"/>
      <c r="D26" s="1"/>
      <c r="E26" s="4">
        <v>1.0</v>
      </c>
      <c r="F26" s="1"/>
      <c r="G26" s="4">
        <v>4.0</v>
      </c>
      <c r="H26" s="1"/>
      <c r="I26" s="1"/>
      <c r="J26" s="4">
        <v>6.0</v>
      </c>
      <c r="K26" s="1"/>
      <c r="L26" s="4">
        <v>5.0</v>
      </c>
      <c r="M26" s="1"/>
      <c r="N26" s="4">
        <v>1.0</v>
      </c>
      <c r="O26" s="1"/>
      <c r="P26" s="1"/>
      <c r="Q26" s="1"/>
      <c r="R26" s="4">
        <v>7.0</v>
      </c>
      <c r="S26" s="1"/>
    </row>
    <row r="27">
      <c r="A27" s="3" t="str">
        <f t="shared" si="2"/>
        <v>Anglais</v>
      </c>
      <c r="B27" s="4">
        <v>4.0</v>
      </c>
      <c r="C27" s="1"/>
      <c r="D27" s="1"/>
      <c r="E27" s="4">
        <v>5.0</v>
      </c>
      <c r="F27" s="1"/>
      <c r="G27" s="4">
        <v>1.0</v>
      </c>
      <c r="H27" s="1"/>
      <c r="I27" s="1"/>
      <c r="J27" s="4">
        <v>4.0</v>
      </c>
      <c r="K27" s="1"/>
      <c r="L27" s="4">
        <v>6.0</v>
      </c>
      <c r="M27" s="1"/>
      <c r="N27" s="4">
        <v>5.0</v>
      </c>
      <c r="O27" s="1"/>
      <c r="P27" s="1"/>
      <c r="Q27" s="1"/>
      <c r="R27" s="4">
        <v>8.0</v>
      </c>
      <c r="S27" s="1"/>
    </row>
    <row r="28">
      <c r="A28" s="3" t="str">
        <f t="shared" si="2"/>
        <v>Anglais</v>
      </c>
      <c r="B28" s="4">
        <v>6.0</v>
      </c>
      <c r="C28" s="1"/>
      <c r="D28" s="1"/>
      <c r="E28" s="4">
        <v>6.0</v>
      </c>
      <c r="F28" s="1"/>
      <c r="G28" s="4">
        <v>5.0</v>
      </c>
      <c r="H28" s="1"/>
      <c r="I28" s="1"/>
      <c r="J28" s="4">
        <v>1.0</v>
      </c>
      <c r="K28" s="1"/>
      <c r="L28" s="4">
        <v>4.0</v>
      </c>
      <c r="M28" s="1"/>
      <c r="N28" s="4">
        <v>6.0</v>
      </c>
      <c r="O28" s="1"/>
      <c r="P28" s="1"/>
      <c r="Q28" s="1"/>
      <c r="R28" s="4">
        <v>2.0</v>
      </c>
      <c r="S28" s="1"/>
    </row>
    <row r="29">
      <c r="A29" s="3" t="str">
        <f t="shared" si="2"/>
        <v>Anglais</v>
      </c>
      <c r="B29" s="4">
        <v>8.0</v>
      </c>
      <c r="C29" s="1"/>
      <c r="D29" s="1"/>
      <c r="E29" s="4">
        <v>4.0</v>
      </c>
      <c r="F29" s="1"/>
      <c r="G29" s="4">
        <v>6.0</v>
      </c>
      <c r="H29" s="1"/>
      <c r="I29" s="1"/>
      <c r="J29" s="4">
        <v>5.0</v>
      </c>
      <c r="K29" s="1"/>
      <c r="L29" s="4">
        <v>1.0</v>
      </c>
      <c r="M29" s="1"/>
      <c r="N29" s="4">
        <v>4.0</v>
      </c>
      <c r="O29" s="1"/>
      <c r="P29" s="1"/>
      <c r="Q29" s="1"/>
      <c r="R29" s="4">
        <v>3.0</v>
      </c>
      <c r="S29" s="1"/>
    </row>
    <row r="30">
      <c r="A30" s="3" t="str">
        <f t="shared" si="2"/>
        <v>Anglais</v>
      </c>
      <c r="B30" s="4">
        <v>10.0</v>
      </c>
      <c r="C30" s="1"/>
      <c r="D30" s="1"/>
      <c r="E30" s="4">
        <v>3.0</v>
      </c>
      <c r="F30" s="1"/>
      <c r="G30" s="4">
        <v>7.0</v>
      </c>
      <c r="H30" s="1"/>
      <c r="I30" s="1"/>
      <c r="J30" s="4">
        <v>8.0</v>
      </c>
      <c r="K30" s="1"/>
      <c r="L30" s="4">
        <v>2.0</v>
      </c>
      <c r="M30" s="1"/>
      <c r="N30" s="4">
        <v>7.0</v>
      </c>
      <c r="O30" s="1"/>
      <c r="P30" s="1"/>
      <c r="Q30" s="1"/>
      <c r="R30" s="4">
        <v>6.0</v>
      </c>
      <c r="S30" s="1"/>
    </row>
    <row r="31">
      <c r="A31" s="3" t="str">
        <f t="shared" si="2"/>
        <v>Anglais</v>
      </c>
      <c r="B31" s="4">
        <v>12.0</v>
      </c>
      <c r="C31" s="1"/>
      <c r="D31" s="1"/>
      <c r="E31" s="4">
        <v>2.0</v>
      </c>
      <c r="F31" s="1"/>
      <c r="G31" s="4">
        <v>8.0</v>
      </c>
      <c r="H31" s="1"/>
      <c r="I31" s="1"/>
      <c r="J31" s="4">
        <v>2.0</v>
      </c>
      <c r="K31" s="1"/>
      <c r="L31" s="4">
        <v>3.0</v>
      </c>
      <c r="M31" s="1"/>
      <c r="N31" s="4">
        <v>2.0</v>
      </c>
      <c r="O31" s="1"/>
      <c r="P31" s="1"/>
      <c r="Q31" s="1"/>
      <c r="R31" s="4">
        <v>4.0</v>
      </c>
      <c r="S31" s="1"/>
    </row>
    <row r="32">
      <c r="A32" s="3" t="str">
        <f t="shared" si="2"/>
        <v>Anglais</v>
      </c>
      <c r="B32" s="4">
        <v>14.0</v>
      </c>
      <c r="C32" s="1"/>
      <c r="D32" s="1"/>
      <c r="E32" s="4">
        <v>8.0</v>
      </c>
      <c r="F32" s="1"/>
      <c r="G32" s="4">
        <v>3.0</v>
      </c>
      <c r="H32" s="1"/>
      <c r="I32" s="1"/>
      <c r="J32" s="4">
        <v>3.0</v>
      </c>
      <c r="K32" s="1"/>
      <c r="L32" s="4">
        <v>7.0</v>
      </c>
      <c r="M32" s="1"/>
      <c r="N32" s="4">
        <v>8.0</v>
      </c>
      <c r="O32" s="1"/>
      <c r="P32" s="1"/>
      <c r="Q32" s="1"/>
      <c r="R32" s="4">
        <v>1.0</v>
      </c>
      <c r="S32" s="1"/>
    </row>
    <row r="33">
      <c r="A33" s="3" t="str">
        <f t="shared" si="2"/>
        <v>Anglais</v>
      </c>
      <c r="B33" s="4">
        <v>16.0</v>
      </c>
      <c r="C33" s="1"/>
      <c r="D33" s="1"/>
      <c r="E33" s="4">
        <v>7.0</v>
      </c>
      <c r="F33" s="1"/>
      <c r="G33" s="4">
        <v>2.0</v>
      </c>
      <c r="H33" s="1"/>
      <c r="I33" s="1"/>
      <c r="J33" s="4">
        <v>7.0</v>
      </c>
      <c r="K33" s="1"/>
      <c r="L33" s="4">
        <v>8.0</v>
      </c>
      <c r="M33" s="1"/>
      <c r="N33" s="4">
        <v>3.0</v>
      </c>
      <c r="O33" s="1"/>
      <c r="P33" s="1"/>
      <c r="Q33" s="1"/>
      <c r="R33" s="4">
        <v>5.0</v>
      </c>
      <c r="S33" s="1"/>
    </row>
    <row r="34">
      <c r="A34" s="3" t="s">
        <v>99</v>
      </c>
      <c r="B34" s="4">
        <v>1.0</v>
      </c>
      <c r="C34" s="1"/>
      <c r="D34" s="1"/>
      <c r="E34" s="4">
        <v>3.0</v>
      </c>
      <c r="F34" s="1"/>
      <c r="G34" s="4">
        <v>8.0</v>
      </c>
      <c r="H34" s="1"/>
      <c r="I34" s="1"/>
      <c r="J34" s="4">
        <v>4.0</v>
      </c>
      <c r="K34" s="1"/>
      <c r="L34" s="4">
        <v>1.0</v>
      </c>
      <c r="M34" s="1"/>
      <c r="N34" s="4">
        <v>5.0</v>
      </c>
      <c r="O34" s="1"/>
      <c r="P34" s="1"/>
      <c r="Q34" s="1"/>
      <c r="R34" s="4">
        <v>8.0</v>
      </c>
      <c r="S34" s="1"/>
    </row>
    <row r="35">
      <c r="A35" s="3" t="str">
        <f t="shared" ref="A35:A49" si="3">A34</f>
        <v>Physique</v>
      </c>
      <c r="B35" s="4">
        <v>3.0</v>
      </c>
      <c r="C35" s="1"/>
      <c r="D35" s="1"/>
      <c r="E35" s="4">
        <v>4.0</v>
      </c>
      <c r="F35" s="1"/>
      <c r="G35" s="4">
        <v>7.0</v>
      </c>
      <c r="H35" s="1"/>
      <c r="I35" s="1"/>
      <c r="J35" s="4">
        <v>1.0</v>
      </c>
      <c r="K35" s="1"/>
      <c r="L35" s="4">
        <v>5.0</v>
      </c>
      <c r="M35" s="1"/>
      <c r="N35" s="4">
        <v>3.0</v>
      </c>
      <c r="O35" s="1"/>
      <c r="P35" s="1"/>
      <c r="Q35" s="1"/>
      <c r="R35" s="4">
        <v>5.0</v>
      </c>
      <c r="S35" s="1"/>
    </row>
    <row r="36">
      <c r="A36" s="3" t="str">
        <f t="shared" si="3"/>
        <v>Physique</v>
      </c>
      <c r="B36" s="4">
        <v>5.0</v>
      </c>
      <c r="C36" s="1"/>
      <c r="D36" s="1"/>
      <c r="E36" s="4">
        <v>2.0</v>
      </c>
      <c r="F36" s="1"/>
      <c r="G36" s="4">
        <v>4.0</v>
      </c>
      <c r="H36" s="1"/>
      <c r="I36" s="1"/>
      <c r="J36" s="4">
        <v>5.0</v>
      </c>
      <c r="K36" s="1"/>
      <c r="L36" s="4">
        <v>7.0</v>
      </c>
      <c r="M36" s="1"/>
      <c r="N36" s="4">
        <v>1.0</v>
      </c>
      <c r="O36" s="1"/>
      <c r="P36" s="1"/>
      <c r="Q36" s="1"/>
      <c r="R36" s="4">
        <v>3.0</v>
      </c>
      <c r="S36" s="1"/>
    </row>
    <row r="37">
      <c r="A37" s="3" t="str">
        <f t="shared" si="3"/>
        <v>Physique</v>
      </c>
      <c r="B37" s="4">
        <v>7.0</v>
      </c>
      <c r="C37" s="1"/>
      <c r="D37" s="1"/>
      <c r="E37" s="4">
        <v>8.0</v>
      </c>
      <c r="F37" s="1"/>
      <c r="G37" s="4">
        <v>2.0</v>
      </c>
      <c r="H37" s="1"/>
      <c r="I37" s="1"/>
      <c r="J37" s="4">
        <v>6.0</v>
      </c>
      <c r="K37" s="1"/>
      <c r="L37" s="4">
        <v>4.0</v>
      </c>
      <c r="M37" s="1"/>
      <c r="N37" s="4">
        <v>8.0</v>
      </c>
      <c r="O37" s="1"/>
      <c r="P37" s="1"/>
      <c r="Q37" s="1"/>
      <c r="R37" s="4">
        <v>1.0</v>
      </c>
      <c r="S37" s="1"/>
    </row>
    <row r="38">
      <c r="A38" s="3" t="str">
        <f t="shared" si="3"/>
        <v>Physique</v>
      </c>
      <c r="B38" s="4">
        <v>9.0</v>
      </c>
      <c r="C38" s="1"/>
      <c r="D38" s="1"/>
      <c r="E38" s="4">
        <v>7.0</v>
      </c>
      <c r="F38" s="1"/>
      <c r="G38" s="4">
        <v>1.0</v>
      </c>
      <c r="H38" s="1"/>
      <c r="I38" s="1"/>
      <c r="J38" s="4">
        <v>7.0</v>
      </c>
      <c r="K38" s="1"/>
      <c r="L38" s="4">
        <v>8.0</v>
      </c>
      <c r="M38" s="1"/>
      <c r="N38" s="4">
        <v>6.0</v>
      </c>
      <c r="O38" s="1"/>
      <c r="P38" s="1"/>
      <c r="Q38" s="1"/>
      <c r="R38" s="4">
        <v>4.0</v>
      </c>
      <c r="S38" s="1"/>
    </row>
    <row r="39">
      <c r="A39" s="3" t="str">
        <f t="shared" si="3"/>
        <v>Physique</v>
      </c>
      <c r="B39" s="4">
        <v>11.0</v>
      </c>
      <c r="C39" s="1"/>
      <c r="D39" s="1"/>
      <c r="E39" s="4">
        <v>6.0</v>
      </c>
      <c r="F39" s="1"/>
      <c r="G39" s="4">
        <v>5.0</v>
      </c>
      <c r="H39" s="1"/>
      <c r="I39" s="1"/>
      <c r="J39" s="4">
        <v>2.0</v>
      </c>
      <c r="K39" s="1"/>
      <c r="L39" s="4">
        <v>3.0</v>
      </c>
      <c r="M39" s="1"/>
      <c r="N39" s="4">
        <v>2.0</v>
      </c>
      <c r="O39" s="1"/>
      <c r="P39" s="1"/>
      <c r="Q39" s="1"/>
      <c r="R39" s="4">
        <v>6.0</v>
      </c>
      <c r="S39" s="1"/>
    </row>
    <row r="40">
      <c r="A40" s="3" t="str">
        <f t="shared" si="3"/>
        <v>Physique</v>
      </c>
      <c r="B40" s="4">
        <v>13.0</v>
      </c>
      <c r="C40" s="1"/>
      <c r="D40" s="1"/>
      <c r="E40" s="4">
        <v>5.0</v>
      </c>
      <c r="F40" s="1"/>
      <c r="G40" s="4">
        <v>6.0</v>
      </c>
      <c r="H40" s="1"/>
      <c r="I40" s="1"/>
      <c r="J40" s="4">
        <v>3.0</v>
      </c>
      <c r="K40" s="1"/>
      <c r="L40" s="4">
        <v>2.0</v>
      </c>
      <c r="M40" s="1"/>
      <c r="N40" s="4">
        <v>4.0</v>
      </c>
      <c r="O40" s="1"/>
      <c r="P40" s="1"/>
      <c r="Q40" s="1"/>
      <c r="R40" s="4">
        <v>7.0</v>
      </c>
      <c r="S40" s="1"/>
    </row>
    <row r="41">
      <c r="A41" s="3" t="str">
        <f t="shared" si="3"/>
        <v>Physique</v>
      </c>
      <c r="B41" s="4">
        <v>15.0</v>
      </c>
      <c r="C41" s="1"/>
      <c r="D41" s="1"/>
      <c r="E41" s="4">
        <v>1.0</v>
      </c>
      <c r="F41" s="1"/>
      <c r="G41" s="4">
        <v>3.0</v>
      </c>
      <c r="H41" s="1"/>
      <c r="I41" s="1"/>
      <c r="J41" s="4">
        <v>8.0</v>
      </c>
      <c r="K41" s="1"/>
      <c r="L41" s="4">
        <v>6.0</v>
      </c>
      <c r="M41" s="1"/>
      <c r="N41" s="4">
        <v>7.0</v>
      </c>
      <c r="O41" s="1"/>
      <c r="P41" s="1"/>
      <c r="Q41" s="1"/>
      <c r="R41" s="4">
        <v>2.0</v>
      </c>
      <c r="S41" s="1"/>
    </row>
    <row r="42">
      <c r="A42" s="3" t="str">
        <f t="shared" si="3"/>
        <v>Physique</v>
      </c>
      <c r="B42" s="4">
        <v>2.0</v>
      </c>
      <c r="C42" s="1"/>
      <c r="D42" s="4">
        <v>4.0</v>
      </c>
      <c r="E42" s="1"/>
      <c r="F42" s="4">
        <v>7.0</v>
      </c>
      <c r="G42" s="1"/>
      <c r="H42" s="4"/>
      <c r="I42" s="4">
        <v>1.0</v>
      </c>
      <c r="J42" s="1"/>
      <c r="K42" s="4">
        <v>6.0</v>
      </c>
      <c r="L42" s="1"/>
      <c r="M42" s="4">
        <v>3.0</v>
      </c>
      <c r="N42" s="1"/>
      <c r="O42" s="4">
        <v>8.0</v>
      </c>
      <c r="P42" s="1"/>
      <c r="Q42" s="1"/>
      <c r="R42" s="1"/>
      <c r="S42" s="4">
        <v>5.0</v>
      </c>
    </row>
    <row r="43">
      <c r="A43" s="3" t="str">
        <f t="shared" si="3"/>
        <v>Physique</v>
      </c>
      <c r="B43" s="4">
        <v>4.0</v>
      </c>
      <c r="C43" s="1"/>
      <c r="D43" s="4">
        <v>3.0</v>
      </c>
      <c r="E43" s="1"/>
      <c r="F43" s="4">
        <v>2.0</v>
      </c>
      <c r="G43" s="1"/>
      <c r="H43" s="4"/>
      <c r="I43" s="4">
        <v>4.0</v>
      </c>
      <c r="J43" s="1"/>
      <c r="K43" s="4">
        <v>7.0</v>
      </c>
      <c r="L43" s="1"/>
      <c r="M43" s="4">
        <v>1.0</v>
      </c>
      <c r="N43" s="1"/>
      <c r="O43" s="4">
        <v>3.0</v>
      </c>
      <c r="P43" s="1"/>
      <c r="Q43" s="1"/>
      <c r="R43" s="1"/>
      <c r="S43" s="4">
        <v>6.0</v>
      </c>
    </row>
    <row r="44">
      <c r="A44" s="3" t="str">
        <f t="shared" si="3"/>
        <v>Physique</v>
      </c>
      <c r="B44" s="4">
        <v>6.0</v>
      </c>
      <c r="C44" s="1"/>
      <c r="D44" s="4">
        <v>8.0</v>
      </c>
      <c r="E44" s="1"/>
      <c r="F44" s="4">
        <v>3.0</v>
      </c>
      <c r="G44" s="1"/>
      <c r="H44" s="4"/>
      <c r="I44" s="4">
        <v>5.0</v>
      </c>
      <c r="J44" s="1"/>
      <c r="K44" s="4">
        <v>4.0</v>
      </c>
      <c r="L44" s="1"/>
      <c r="M44" s="4">
        <v>2.0</v>
      </c>
      <c r="N44" s="1"/>
      <c r="O44" s="4">
        <v>6.0</v>
      </c>
      <c r="P44" s="1"/>
      <c r="Q44" s="1"/>
      <c r="R44" s="1"/>
      <c r="S44" s="4">
        <v>3.0</v>
      </c>
    </row>
    <row r="45">
      <c r="A45" s="3" t="str">
        <f t="shared" si="3"/>
        <v>Physique</v>
      </c>
      <c r="B45" s="4">
        <v>8.0</v>
      </c>
      <c r="C45" s="1"/>
      <c r="D45" s="4">
        <v>7.0</v>
      </c>
      <c r="E45" s="1"/>
      <c r="F45" s="4">
        <v>4.0</v>
      </c>
      <c r="G45" s="1"/>
      <c r="H45" s="4"/>
      <c r="I45" s="4">
        <v>8.0</v>
      </c>
      <c r="J45" s="1"/>
      <c r="K45" s="4">
        <v>1.0</v>
      </c>
      <c r="L45" s="1"/>
      <c r="M45" s="4">
        <v>8.0</v>
      </c>
      <c r="N45" s="1"/>
      <c r="O45" s="4">
        <v>7.0</v>
      </c>
      <c r="P45" s="1"/>
      <c r="Q45" s="1"/>
      <c r="R45" s="1"/>
      <c r="S45" s="4">
        <v>2.0</v>
      </c>
    </row>
    <row r="46">
      <c r="A46" s="3" t="str">
        <f t="shared" si="3"/>
        <v>Physique</v>
      </c>
      <c r="B46" s="4">
        <v>10.0</v>
      </c>
      <c r="C46" s="1"/>
      <c r="D46" s="4">
        <v>6.0</v>
      </c>
      <c r="E46" s="1"/>
      <c r="F46" s="4">
        <v>1.0</v>
      </c>
      <c r="G46" s="1"/>
      <c r="H46" s="4"/>
      <c r="I46" s="4">
        <v>3.0</v>
      </c>
      <c r="J46" s="1"/>
      <c r="K46" s="4">
        <v>5.0</v>
      </c>
      <c r="L46" s="1"/>
      <c r="M46" s="4">
        <v>6.0</v>
      </c>
      <c r="N46" s="1"/>
      <c r="O46" s="4">
        <v>1.0</v>
      </c>
      <c r="P46" s="1"/>
      <c r="Q46" s="1"/>
      <c r="R46" s="1"/>
      <c r="S46" s="4">
        <v>8.0</v>
      </c>
    </row>
    <row r="47">
      <c r="A47" s="3" t="str">
        <f t="shared" si="3"/>
        <v>Physique</v>
      </c>
      <c r="B47" s="4">
        <v>12.0</v>
      </c>
      <c r="C47" s="1"/>
      <c r="D47" s="4">
        <v>2.0</v>
      </c>
      <c r="E47" s="1"/>
      <c r="F47" s="4">
        <v>5.0</v>
      </c>
      <c r="G47" s="1"/>
      <c r="H47" s="4"/>
      <c r="I47" s="4">
        <v>6.0</v>
      </c>
      <c r="J47" s="1"/>
      <c r="K47" s="4">
        <v>8.0</v>
      </c>
      <c r="L47" s="1"/>
      <c r="M47" s="4">
        <v>4.0</v>
      </c>
      <c r="N47" s="1"/>
      <c r="O47" s="4">
        <v>5.0</v>
      </c>
      <c r="P47" s="1"/>
      <c r="Q47" s="1"/>
      <c r="R47" s="1"/>
      <c r="S47" s="4">
        <v>7.0</v>
      </c>
    </row>
    <row r="48">
      <c r="A48" s="3" t="str">
        <f t="shared" si="3"/>
        <v>Physique</v>
      </c>
      <c r="B48" s="4">
        <v>14.0</v>
      </c>
      <c r="C48" s="1"/>
      <c r="D48" s="4">
        <v>5.0</v>
      </c>
      <c r="E48" s="1"/>
      <c r="F48" s="4">
        <v>6.0</v>
      </c>
      <c r="G48" s="1"/>
      <c r="H48" s="4"/>
      <c r="I48" s="4">
        <v>2.0</v>
      </c>
      <c r="J48" s="1"/>
      <c r="K48" s="4">
        <v>3.0</v>
      </c>
      <c r="L48" s="1"/>
      <c r="M48" s="4">
        <v>7.0</v>
      </c>
      <c r="N48" s="1"/>
      <c r="O48" s="4">
        <v>4.0</v>
      </c>
      <c r="P48" s="1"/>
      <c r="Q48" s="1"/>
      <c r="R48" s="1"/>
      <c r="S48" s="4">
        <v>1.0</v>
      </c>
    </row>
    <row r="49">
      <c r="A49" s="3" t="str">
        <f t="shared" si="3"/>
        <v>Physique</v>
      </c>
      <c r="B49" s="4">
        <v>16.0</v>
      </c>
      <c r="C49" s="1"/>
      <c r="D49" s="4">
        <v>1.0</v>
      </c>
      <c r="E49" s="1"/>
      <c r="F49" s="4">
        <v>8.0</v>
      </c>
      <c r="G49" s="1"/>
      <c r="H49" s="4"/>
      <c r="I49" s="4">
        <v>7.0</v>
      </c>
      <c r="J49" s="1"/>
      <c r="K49" s="4">
        <v>2.0</v>
      </c>
      <c r="L49" s="1"/>
      <c r="M49" s="4">
        <v>5.0</v>
      </c>
      <c r="N49" s="1"/>
      <c r="O49" s="4">
        <v>2.0</v>
      </c>
      <c r="P49" s="1"/>
      <c r="Q49" s="1"/>
      <c r="R49" s="1"/>
      <c r="S49" s="4">
        <v>4.0</v>
      </c>
    </row>
    <row r="50">
      <c r="A50" s="3" t="s">
        <v>100</v>
      </c>
      <c r="B50" s="4">
        <v>1.0</v>
      </c>
      <c r="C50" s="1"/>
      <c r="D50" s="1"/>
      <c r="E50" s="4">
        <v>3.0</v>
      </c>
      <c r="F50" s="1"/>
      <c r="G50" s="4">
        <v>5.0</v>
      </c>
      <c r="H50" s="1"/>
      <c r="I50" s="1"/>
      <c r="J50" s="4">
        <v>8.0</v>
      </c>
      <c r="K50" s="1"/>
      <c r="L50" s="4">
        <v>1.0</v>
      </c>
      <c r="M50" s="1"/>
      <c r="N50" s="4">
        <v>2.0</v>
      </c>
      <c r="O50" s="1"/>
      <c r="P50" s="1"/>
      <c r="Q50" s="1"/>
      <c r="R50" s="4">
        <v>5.0</v>
      </c>
      <c r="S50" s="1"/>
    </row>
    <row r="51">
      <c r="A51" s="3" t="str">
        <f t="shared" ref="A51:A65" si="4">A50</f>
        <v>Chimie</v>
      </c>
      <c r="B51" s="4">
        <v>3.0</v>
      </c>
      <c r="C51" s="1"/>
      <c r="D51" s="1"/>
      <c r="E51" s="4">
        <v>8.0</v>
      </c>
      <c r="F51" s="1"/>
      <c r="G51" s="4">
        <v>7.0</v>
      </c>
      <c r="H51" s="1"/>
      <c r="I51" s="1"/>
      <c r="J51" s="4">
        <v>1.0</v>
      </c>
      <c r="K51" s="1"/>
      <c r="L51" s="4">
        <v>2.0</v>
      </c>
      <c r="M51" s="1"/>
      <c r="N51" s="4">
        <v>3.0</v>
      </c>
      <c r="O51" s="1"/>
      <c r="P51" s="1"/>
      <c r="Q51" s="1"/>
      <c r="R51" s="4">
        <v>2.0</v>
      </c>
      <c r="S51" s="1"/>
    </row>
    <row r="52">
      <c r="A52" s="3" t="str">
        <f t="shared" si="4"/>
        <v>Chimie</v>
      </c>
      <c r="B52" s="4">
        <v>5.0</v>
      </c>
      <c r="C52" s="1"/>
      <c r="D52" s="1"/>
      <c r="E52" s="4">
        <v>6.0</v>
      </c>
      <c r="F52" s="1"/>
      <c r="G52" s="4">
        <v>8.0</v>
      </c>
      <c r="H52" s="1"/>
      <c r="I52" s="1"/>
      <c r="J52" s="4">
        <v>2.0</v>
      </c>
      <c r="K52" s="1"/>
      <c r="L52" s="4">
        <v>7.0</v>
      </c>
      <c r="M52" s="1"/>
      <c r="N52" s="4">
        <v>1.0</v>
      </c>
      <c r="O52" s="1"/>
      <c r="P52" s="1"/>
      <c r="Q52" s="1"/>
      <c r="R52" s="4">
        <v>3.0</v>
      </c>
      <c r="S52" s="1"/>
    </row>
    <row r="53">
      <c r="A53" s="3" t="str">
        <f t="shared" si="4"/>
        <v>Chimie</v>
      </c>
      <c r="B53" s="4">
        <v>7.0</v>
      </c>
      <c r="C53" s="1"/>
      <c r="D53" s="1"/>
      <c r="E53" s="4">
        <v>5.0</v>
      </c>
      <c r="F53" s="1"/>
      <c r="G53" s="4">
        <v>6.0</v>
      </c>
      <c r="H53" s="1"/>
      <c r="I53" s="1"/>
      <c r="J53" s="4">
        <v>4.0</v>
      </c>
      <c r="K53" s="1"/>
      <c r="L53" s="4">
        <v>8.0</v>
      </c>
      <c r="M53" s="1"/>
      <c r="N53" s="4">
        <v>5.0</v>
      </c>
      <c r="O53" s="1"/>
      <c r="P53" s="1"/>
      <c r="Q53" s="1"/>
      <c r="R53" s="4">
        <v>1.0</v>
      </c>
      <c r="S53" s="1"/>
    </row>
    <row r="54">
      <c r="A54" s="3" t="str">
        <f t="shared" si="4"/>
        <v>Chimie</v>
      </c>
      <c r="B54" s="4">
        <v>9.0</v>
      </c>
      <c r="C54" s="1"/>
      <c r="D54" s="1"/>
      <c r="E54" s="4">
        <v>7.0</v>
      </c>
      <c r="F54" s="1"/>
      <c r="G54" s="4">
        <v>1.0</v>
      </c>
      <c r="H54" s="1"/>
      <c r="I54" s="1"/>
      <c r="J54" s="4">
        <v>7.0</v>
      </c>
      <c r="K54" s="1"/>
      <c r="L54" s="4">
        <v>5.0</v>
      </c>
      <c r="M54" s="1"/>
      <c r="N54" s="4">
        <v>4.0</v>
      </c>
      <c r="O54" s="1"/>
      <c r="P54" s="1"/>
      <c r="Q54" s="1"/>
      <c r="R54" s="4">
        <v>8.0</v>
      </c>
      <c r="S54" s="1"/>
    </row>
    <row r="55">
      <c r="A55" s="3" t="str">
        <f t="shared" si="4"/>
        <v>Chimie</v>
      </c>
      <c r="B55" s="4">
        <v>11.0</v>
      </c>
      <c r="C55" s="1"/>
      <c r="D55" s="1"/>
      <c r="E55" s="4">
        <v>4.0</v>
      </c>
      <c r="F55" s="1"/>
      <c r="G55" s="4">
        <v>2.0</v>
      </c>
      <c r="H55" s="1"/>
      <c r="I55" s="1"/>
      <c r="J55" s="4">
        <v>6.0</v>
      </c>
      <c r="K55" s="1"/>
      <c r="L55" s="4">
        <v>3.0</v>
      </c>
      <c r="M55" s="1"/>
      <c r="N55" s="4">
        <v>6.0</v>
      </c>
      <c r="O55" s="1"/>
      <c r="P55" s="1"/>
      <c r="Q55" s="1"/>
      <c r="R55" s="4">
        <v>4.0</v>
      </c>
      <c r="S55" s="1"/>
    </row>
    <row r="56">
      <c r="A56" s="3" t="str">
        <f t="shared" si="4"/>
        <v>Chimie</v>
      </c>
      <c r="B56" s="4">
        <v>13.0</v>
      </c>
      <c r="C56" s="1"/>
      <c r="D56" s="1"/>
      <c r="E56" s="4">
        <v>2.0</v>
      </c>
      <c r="F56" s="1"/>
      <c r="G56" s="4">
        <v>4.0</v>
      </c>
      <c r="H56" s="1"/>
      <c r="I56" s="1"/>
      <c r="J56" s="4">
        <v>3.0</v>
      </c>
      <c r="K56" s="1"/>
      <c r="L56" s="4">
        <v>6.0</v>
      </c>
      <c r="M56" s="1"/>
      <c r="N56" s="4">
        <v>8.0</v>
      </c>
      <c r="O56" s="1"/>
      <c r="P56" s="1"/>
      <c r="Q56" s="1"/>
      <c r="R56" s="4">
        <v>7.0</v>
      </c>
      <c r="S56" s="1"/>
    </row>
    <row r="57">
      <c r="A57" s="3" t="str">
        <f t="shared" si="4"/>
        <v>Chimie</v>
      </c>
      <c r="B57" s="4">
        <v>15.0</v>
      </c>
      <c r="C57" s="1"/>
      <c r="D57" s="1"/>
      <c r="E57" s="4">
        <v>1.0</v>
      </c>
      <c r="F57" s="1"/>
      <c r="G57" s="4">
        <v>3.0</v>
      </c>
      <c r="H57" s="1"/>
      <c r="I57" s="1"/>
      <c r="J57" s="4">
        <v>5.0</v>
      </c>
      <c r="K57" s="1"/>
      <c r="L57" s="4">
        <v>4.0</v>
      </c>
      <c r="M57" s="1"/>
      <c r="N57" s="4">
        <v>7.0</v>
      </c>
      <c r="O57" s="1"/>
      <c r="P57" s="1"/>
      <c r="Q57" s="1"/>
      <c r="R57" s="4">
        <v>6.0</v>
      </c>
      <c r="S57" s="1"/>
    </row>
    <row r="58">
      <c r="A58" s="3" t="str">
        <f t="shared" si="4"/>
        <v>Chimie</v>
      </c>
      <c r="B58" s="4">
        <v>2.0</v>
      </c>
      <c r="C58" s="1"/>
      <c r="D58" s="4">
        <v>8.0</v>
      </c>
      <c r="E58" s="1"/>
      <c r="F58" s="4">
        <v>7.0</v>
      </c>
      <c r="G58" s="1"/>
      <c r="H58" s="4"/>
      <c r="I58" s="4">
        <v>1.0</v>
      </c>
      <c r="J58" s="1"/>
      <c r="K58" s="4">
        <v>4.0</v>
      </c>
      <c r="L58" s="1"/>
      <c r="M58" s="4">
        <v>3.0</v>
      </c>
      <c r="N58" s="1"/>
      <c r="O58" s="4">
        <v>5.0</v>
      </c>
      <c r="P58" s="1"/>
      <c r="Q58" s="1"/>
      <c r="R58" s="1"/>
      <c r="S58" s="4">
        <v>2.0</v>
      </c>
    </row>
    <row r="59">
      <c r="A59" s="3" t="str">
        <f t="shared" si="4"/>
        <v>Chimie</v>
      </c>
      <c r="B59" s="4">
        <v>4.0</v>
      </c>
      <c r="C59" s="1"/>
      <c r="D59" s="4">
        <v>3.0</v>
      </c>
      <c r="E59" s="1"/>
      <c r="F59" s="4">
        <v>6.0</v>
      </c>
      <c r="G59" s="1"/>
      <c r="H59" s="4"/>
      <c r="I59" s="4">
        <v>8.0</v>
      </c>
      <c r="J59" s="1"/>
      <c r="K59" s="4">
        <v>7.0</v>
      </c>
      <c r="L59" s="1"/>
      <c r="M59" s="4">
        <v>1.0</v>
      </c>
      <c r="N59" s="1"/>
      <c r="O59" s="4">
        <v>3.0</v>
      </c>
      <c r="P59" s="1"/>
      <c r="Q59" s="1"/>
      <c r="R59" s="1"/>
      <c r="S59" s="4">
        <v>4.0</v>
      </c>
    </row>
    <row r="60">
      <c r="A60" s="3" t="str">
        <f t="shared" si="4"/>
        <v>Chimie</v>
      </c>
      <c r="B60" s="4">
        <v>6.0</v>
      </c>
      <c r="C60" s="1"/>
      <c r="D60" s="4">
        <v>5.0</v>
      </c>
      <c r="E60" s="1"/>
      <c r="F60" s="4">
        <v>3.0</v>
      </c>
      <c r="G60" s="1"/>
      <c r="H60" s="4"/>
      <c r="I60" s="4">
        <v>2.0</v>
      </c>
      <c r="J60" s="1"/>
      <c r="K60" s="4">
        <v>8.0</v>
      </c>
      <c r="L60" s="1"/>
      <c r="M60" s="4">
        <v>6.0</v>
      </c>
      <c r="N60" s="1"/>
      <c r="O60" s="4">
        <v>4.0</v>
      </c>
      <c r="P60" s="1"/>
      <c r="Q60" s="1"/>
      <c r="R60" s="1"/>
      <c r="S60" s="4">
        <v>3.0</v>
      </c>
    </row>
    <row r="61">
      <c r="A61" s="3" t="str">
        <f t="shared" si="4"/>
        <v>Chimie</v>
      </c>
      <c r="B61" s="4">
        <v>8.0</v>
      </c>
      <c r="C61" s="1"/>
      <c r="D61" s="4">
        <v>7.0</v>
      </c>
      <c r="E61" s="1"/>
      <c r="F61" s="4">
        <v>8.0</v>
      </c>
      <c r="G61" s="1"/>
      <c r="H61" s="4"/>
      <c r="I61" s="4">
        <v>5.0</v>
      </c>
      <c r="J61" s="1"/>
      <c r="K61" s="4">
        <v>1.0</v>
      </c>
      <c r="L61" s="1"/>
      <c r="M61" s="4">
        <v>5.0</v>
      </c>
      <c r="N61" s="1"/>
      <c r="O61" s="4">
        <v>7.0</v>
      </c>
      <c r="P61" s="1"/>
      <c r="Q61" s="1"/>
      <c r="R61" s="1"/>
      <c r="S61" s="4">
        <v>6.0</v>
      </c>
    </row>
    <row r="62">
      <c r="A62" s="3" t="str">
        <f t="shared" si="4"/>
        <v>Chimie</v>
      </c>
      <c r="B62" s="4">
        <v>10.0</v>
      </c>
      <c r="C62" s="1"/>
      <c r="D62" s="4">
        <v>4.0</v>
      </c>
      <c r="E62" s="1"/>
      <c r="F62" s="4">
        <v>1.0</v>
      </c>
      <c r="G62" s="1"/>
      <c r="H62" s="4"/>
      <c r="I62" s="4">
        <v>3.0</v>
      </c>
      <c r="J62" s="1"/>
      <c r="K62" s="4">
        <v>2.0</v>
      </c>
      <c r="L62" s="1"/>
      <c r="M62" s="4">
        <v>4.0</v>
      </c>
      <c r="N62" s="1"/>
      <c r="O62" s="4">
        <v>1.0</v>
      </c>
      <c r="P62" s="1"/>
      <c r="Q62" s="1"/>
      <c r="R62" s="1"/>
      <c r="S62" s="4">
        <v>5.0</v>
      </c>
    </row>
    <row r="63">
      <c r="A63" s="3" t="str">
        <f t="shared" si="4"/>
        <v>Chimie</v>
      </c>
      <c r="B63" s="4">
        <v>12.0</v>
      </c>
      <c r="C63" s="1"/>
      <c r="D63" s="4">
        <v>6.0</v>
      </c>
      <c r="E63" s="1"/>
      <c r="F63" s="4">
        <v>2.0</v>
      </c>
      <c r="G63" s="1"/>
      <c r="H63" s="4"/>
      <c r="I63" s="4">
        <v>4.0</v>
      </c>
      <c r="J63" s="1"/>
      <c r="K63" s="4">
        <v>5.0</v>
      </c>
      <c r="L63" s="1"/>
      <c r="M63" s="4">
        <v>8.0</v>
      </c>
      <c r="N63" s="1"/>
      <c r="O63" s="4">
        <v>2.0</v>
      </c>
      <c r="P63" s="1"/>
      <c r="Q63" s="1"/>
      <c r="R63" s="1"/>
      <c r="S63" s="4">
        <v>7.0</v>
      </c>
    </row>
    <row r="64">
      <c r="A64" s="3" t="str">
        <f t="shared" si="4"/>
        <v>Chimie</v>
      </c>
      <c r="B64" s="4">
        <v>14.0</v>
      </c>
      <c r="C64" s="1"/>
      <c r="D64" s="4">
        <v>2.0</v>
      </c>
      <c r="E64" s="1"/>
      <c r="F64" s="4">
        <v>4.0</v>
      </c>
      <c r="G64" s="1"/>
      <c r="H64" s="4"/>
      <c r="I64" s="4">
        <v>6.0</v>
      </c>
      <c r="J64" s="1"/>
      <c r="K64" s="4">
        <v>3.0</v>
      </c>
      <c r="L64" s="1"/>
      <c r="M64" s="4">
        <v>7.0</v>
      </c>
      <c r="N64" s="1"/>
      <c r="O64" s="4">
        <v>8.0</v>
      </c>
      <c r="P64" s="1"/>
      <c r="Q64" s="1"/>
      <c r="R64" s="1"/>
      <c r="S64" s="4">
        <v>1.0</v>
      </c>
    </row>
    <row r="65">
      <c r="A65" s="3" t="str">
        <f t="shared" si="4"/>
        <v>Chimie</v>
      </c>
      <c r="B65" s="4">
        <v>16.0</v>
      </c>
      <c r="C65" s="1"/>
      <c r="D65" s="4">
        <v>1.0</v>
      </c>
      <c r="E65" s="1"/>
      <c r="F65" s="4">
        <v>5.0</v>
      </c>
      <c r="G65" s="1"/>
      <c r="H65" s="4"/>
      <c r="I65" s="4">
        <v>7.0</v>
      </c>
      <c r="J65" s="1"/>
      <c r="K65" s="4">
        <v>6.0</v>
      </c>
      <c r="L65" s="1"/>
      <c r="M65" s="4">
        <v>2.0</v>
      </c>
      <c r="N65" s="1"/>
      <c r="O65" s="4">
        <v>6.0</v>
      </c>
      <c r="P65" s="1"/>
      <c r="Q65" s="1"/>
      <c r="R65" s="1"/>
      <c r="S65" s="4">
        <v>8.0</v>
      </c>
    </row>
    <row r="66">
      <c r="A66" s="3" t="s">
        <v>81</v>
      </c>
      <c r="B66" s="4">
        <v>1.0</v>
      </c>
      <c r="C66" s="1"/>
      <c r="D66" s="4">
        <v>1.0</v>
      </c>
      <c r="E66" s="1"/>
      <c r="F66" s="1"/>
      <c r="G66" s="1"/>
      <c r="H66" s="1"/>
      <c r="I66" s="1"/>
      <c r="J66" s="4">
        <v>2.0</v>
      </c>
      <c r="K66" s="1"/>
      <c r="L66" s="1"/>
      <c r="M66" s="1"/>
      <c r="N66" s="1"/>
      <c r="O66" s="4">
        <v>3.0</v>
      </c>
      <c r="P66" s="1"/>
      <c r="Q66" s="1"/>
      <c r="R66" s="1"/>
      <c r="S66" s="1"/>
    </row>
    <row r="67">
      <c r="A67" s="3" t="str">
        <f t="shared" ref="A67:A81" si="5">A66</f>
        <v>SI</v>
      </c>
      <c r="B67" s="4">
        <v>2.0</v>
      </c>
      <c r="C67" s="1"/>
      <c r="D67" s="4">
        <v>2.0</v>
      </c>
      <c r="E67" s="1"/>
      <c r="F67" s="1"/>
      <c r="G67" s="1"/>
      <c r="H67" s="4"/>
      <c r="I67" s="4">
        <v>3.0</v>
      </c>
      <c r="J67" s="1"/>
      <c r="K67" s="1"/>
      <c r="L67" s="1"/>
      <c r="M67" s="1"/>
      <c r="N67" s="1"/>
      <c r="O67" s="4">
        <v>1.0</v>
      </c>
      <c r="P67" s="1"/>
      <c r="Q67" s="1"/>
      <c r="R67" s="1"/>
      <c r="S67" s="1"/>
    </row>
    <row r="68">
      <c r="A68" s="3" t="str">
        <f t="shared" si="5"/>
        <v>SI</v>
      </c>
      <c r="B68" s="4">
        <v>3.0</v>
      </c>
      <c r="C68" s="1"/>
      <c r="D68" s="4">
        <v>3.0</v>
      </c>
      <c r="E68" s="1"/>
      <c r="F68" s="1"/>
      <c r="G68" s="1"/>
      <c r="H68" s="4"/>
      <c r="I68" s="4">
        <v>2.0</v>
      </c>
      <c r="J68" s="1"/>
      <c r="K68" s="1"/>
      <c r="L68" s="1"/>
      <c r="M68" s="4">
        <v>2.0</v>
      </c>
      <c r="N68" s="1"/>
      <c r="O68" s="1"/>
      <c r="P68" s="1"/>
      <c r="Q68" s="1"/>
      <c r="R68" s="1"/>
      <c r="S68" s="4">
        <v>2.0</v>
      </c>
    </row>
    <row r="69">
      <c r="A69" s="3" t="str">
        <f t="shared" si="5"/>
        <v>SI</v>
      </c>
      <c r="B69" s="4">
        <v>4.0</v>
      </c>
      <c r="C69" s="1"/>
      <c r="D69" s="1"/>
      <c r="E69" s="4">
        <v>1.0</v>
      </c>
      <c r="F69" s="1"/>
      <c r="G69" s="1"/>
      <c r="H69" s="4"/>
      <c r="I69" s="4">
        <v>4.0</v>
      </c>
      <c r="J69" s="1"/>
      <c r="K69" s="1"/>
      <c r="L69" s="1"/>
      <c r="M69" s="4">
        <v>3.0</v>
      </c>
      <c r="N69" s="1"/>
      <c r="O69" s="1"/>
      <c r="P69" s="1"/>
      <c r="Q69" s="1"/>
      <c r="R69" s="1"/>
      <c r="S69" s="4">
        <v>3.0</v>
      </c>
    </row>
    <row r="70">
      <c r="A70" s="3" t="str">
        <f t="shared" si="5"/>
        <v>SI</v>
      </c>
      <c r="B70" s="4">
        <v>5.0</v>
      </c>
      <c r="C70" s="1"/>
      <c r="D70" s="1"/>
      <c r="E70" s="1"/>
      <c r="F70" s="1"/>
      <c r="G70" s="4">
        <v>3.0</v>
      </c>
      <c r="H70" s="1"/>
      <c r="I70" s="1"/>
      <c r="J70" s="4">
        <v>1.0</v>
      </c>
      <c r="K70" s="1"/>
      <c r="L70" s="1"/>
      <c r="M70" s="1"/>
      <c r="N70" s="4">
        <v>4.0</v>
      </c>
      <c r="O70" s="1"/>
      <c r="P70" s="1"/>
      <c r="Q70" s="1"/>
      <c r="R70" s="1"/>
      <c r="S70" s="1"/>
    </row>
    <row r="71">
      <c r="A71" s="3" t="str">
        <f t="shared" si="5"/>
        <v>SI</v>
      </c>
      <c r="B71" s="4">
        <v>6.0</v>
      </c>
      <c r="C71" s="1"/>
      <c r="D71" s="1"/>
      <c r="E71" s="4">
        <v>2.0</v>
      </c>
      <c r="F71" s="1"/>
      <c r="G71" s="1"/>
      <c r="H71" s="1"/>
      <c r="I71" s="1"/>
      <c r="J71" s="1"/>
      <c r="K71" s="4">
        <v>1.0</v>
      </c>
      <c r="L71" s="1"/>
      <c r="M71" s="1"/>
      <c r="N71" s="4">
        <v>3.0</v>
      </c>
      <c r="O71" s="1"/>
      <c r="P71" s="1"/>
      <c r="Q71" s="1"/>
      <c r="R71" s="1"/>
      <c r="S71" s="1"/>
    </row>
    <row r="72">
      <c r="A72" s="3" t="str">
        <f t="shared" si="5"/>
        <v>SI</v>
      </c>
      <c r="B72" s="4">
        <v>7.0</v>
      </c>
      <c r="C72" s="1"/>
      <c r="D72" s="1"/>
      <c r="E72" s="4">
        <v>3.0</v>
      </c>
      <c r="F72" s="1"/>
      <c r="G72" s="1"/>
      <c r="H72" s="1"/>
      <c r="I72" s="1"/>
      <c r="J72" s="4">
        <v>4.0</v>
      </c>
      <c r="K72" s="1"/>
      <c r="L72" s="1"/>
      <c r="M72" s="1"/>
      <c r="N72" s="4">
        <v>1.0</v>
      </c>
      <c r="O72" s="1"/>
      <c r="P72" s="1"/>
      <c r="Q72" s="1"/>
      <c r="R72" s="1"/>
      <c r="S72" s="1"/>
    </row>
    <row r="73">
      <c r="A73" s="3" t="str">
        <f t="shared" si="5"/>
        <v>SI</v>
      </c>
      <c r="B73" s="4">
        <v>8.0</v>
      </c>
      <c r="C73" s="1"/>
      <c r="D73" s="1"/>
      <c r="E73" s="4">
        <v>4.0</v>
      </c>
      <c r="F73" s="1"/>
      <c r="G73" s="1"/>
      <c r="H73" s="4"/>
      <c r="I73" s="4">
        <v>1.0</v>
      </c>
      <c r="J73" s="1"/>
      <c r="K73" s="1"/>
      <c r="L73" s="1"/>
      <c r="M73" s="4">
        <v>4.0</v>
      </c>
      <c r="N73" s="1"/>
      <c r="O73" s="1"/>
      <c r="P73" s="1"/>
      <c r="Q73" s="1"/>
      <c r="R73" s="1"/>
      <c r="S73" s="4">
        <v>4.0</v>
      </c>
    </row>
    <row r="74">
      <c r="A74" s="3" t="str">
        <f t="shared" si="5"/>
        <v>SI</v>
      </c>
      <c r="B74" s="4">
        <v>9.0</v>
      </c>
      <c r="C74" s="1"/>
      <c r="D74" s="1"/>
      <c r="E74" s="1"/>
      <c r="F74" s="4">
        <v>1.0</v>
      </c>
      <c r="G74" s="1"/>
      <c r="H74" s="1"/>
      <c r="I74" s="1"/>
      <c r="J74" s="1"/>
      <c r="K74" s="1"/>
      <c r="L74" s="4">
        <v>1.0</v>
      </c>
      <c r="M74" s="1"/>
      <c r="N74" s="4">
        <v>2.0</v>
      </c>
      <c r="O74" s="1"/>
      <c r="P74" s="1"/>
      <c r="Q74" s="1"/>
      <c r="R74" s="1"/>
      <c r="S74" s="1"/>
    </row>
    <row r="75">
      <c r="A75" s="3" t="str">
        <f t="shared" si="5"/>
        <v>SI</v>
      </c>
      <c r="B75" s="4">
        <v>10.0</v>
      </c>
      <c r="C75" s="1"/>
      <c r="D75" s="1"/>
      <c r="E75" s="1"/>
      <c r="F75" s="4">
        <v>2.0</v>
      </c>
      <c r="G75" s="1"/>
      <c r="H75" s="1"/>
      <c r="I75" s="1"/>
      <c r="J75" s="1"/>
      <c r="K75" s="4">
        <v>3.0</v>
      </c>
      <c r="L75" s="1"/>
      <c r="M75" s="1"/>
      <c r="N75" s="1"/>
      <c r="O75" s="1"/>
      <c r="P75" s="1"/>
      <c r="Q75" s="1"/>
      <c r="R75" s="4">
        <v>4.0</v>
      </c>
      <c r="S75" s="1"/>
    </row>
    <row r="76">
      <c r="A76" s="3" t="str">
        <f t="shared" si="5"/>
        <v>SI</v>
      </c>
      <c r="B76" s="4">
        <v>11.0</v>
      </c>
      <c r="C76" s="1"/>
      <c r="D76" s="1"/>
      <c r="E76" s="1"/>
      <c r="F76" s="1"/>
      <c r="G76" s="4">
        <v>4.0</v>
      </c>
      <c r="H76" s="1"/>
      <c r="I76" s="1"/>
      <c r="J76" s="1"/>
      <c r="K76" s="4">
        <v>4.0</v>
      </c>
      <c r="L76" s="1"/>
      <c r="M76" s="1"/>
      <c r="N76" s="1"/>
      <c r="O76" s="4">
        <v>2.0</v>
      </c>
      <c r="P76" s="1"/>
      <c r="Q76" s="1"/>
      <c r="R76" s="1"/>
      <c r="S76" s="1"/>
    </row>
    <row r="77">
      <c r="A77" s="3" t="str">
        <f t="shared" si="5"/>
        <v>SI</v>
      </c>
      <c r="B77" s="4">
        <v>12.0</v>
      </c>
      <c r="C77" s="1"/>
      <c r="D77" s="1"/>
      <c r="E77" s="1"/>
      <c r="F77" s="4">
        <v>4.0</v>
      </c>
      <c r="G77" s="1"/>
      <c r="H77" s="1"/>
      <c r="I77" s="1"/>
      <c r="J77" s="1"/>
      <c r="K77" s="4">
        <v>2.0</v>
      </c>
      <c r="L77" s="1"/>
      <c r="M77" s="1"/>
      <c r="N77" s="1"/>
      <c r="O77" s="1"/>
      <c r="P77" s="1"/>
      <c r="Q77" s="1"/>
      <c r="R77" s="4">
        <v>2.0</v>
      </c>
      <c r="S77" s="1"/>
    </row>
    <row r="78">
      <c r="A78" s="3" t="str">
        <f t="shared" si="5"/>
        <v>SI</v>
      </c>
      <c r="B78" s="4">
        <v>13.0</v>
      </c>
      <c r="C78" s="1"/>
      <c r="D78" s="1"/>
      <c r="E78" s="1"/>
      <c r="F78" s="1"/>
      <c r="G78" s="4">
        <v>1.0</v>
      </c>
      <c r="H78" s="1"/>
      <c r="I78" s="1"/>
      <c r="J78" s="1"/>
      <c r="K78" s="1"/>
      <c r="L78" s="4">
        <v>2.0</v>
      </c>
      <c r="M78" s="1"/>
      <c r="N78" s="1"/>
      <c r="O78" s="1"/>
      <c r="P78" s="1"/>
      <c r="Q78" s="1"/>
      <c r="R78" s="4">
        <v>3.0</v>
      </c>
      <c r="S78" s="1"/>
    </row>
    <row r="79">
      <c r="A79" s="3" t="str">
        <f t="shared" si="5"/>
        <v>SI</v>
      </c>
      <c r="B79" s="4">
        <v>14.0</v>
      </c>
      <c r="C79" s="1"/>
      <c r="D79" s="1"/>
      <c r="E79" s="1"/>
      <c r="F79" s="1"/>
      <c r="G79" s="4">
        <v>2.0</v>
      </c>
      <c r="H79" s="1"/>
      <c r="I79" s="1"/>
      <c r="J79" s="1"/>
      <c r="K79" s="1"/>
      <c r="L79" s="4">
        <v>3.0</v>
      </c>
      <c r="M79" s="1"/>
      <c r="N79" s="1"/>
      <c r="O79" s="4">
        <v>4.0</v>
      </c>
      <c r="P79" s="1"/>
      <c r="Q79" s="1"/>
      <c r="R79" s="1"/>
      <c r="S79" s="1"/>
    </row>
    <row r="80">
      <c r="A80" s="3" t="str">
        <f t="shared" si="5"/>
        <v>SI</v>
      </c>
      <c r="B80" s="4">
        <v>15.0</v>
      </c>
      <c r="C80" s="1"/>
      <c r="D80" s="4">
        <v>4.0</v>
      </c>
      <c r="E80" s="1"/>
      <c r="F80" s="1"/>
      <c r="G80" s="1"/>
      <c r="H80" s="1"/>
      <c r="I80" s="1"/>
      <c r="J80" s="4">
        <v>3.0</v>
      </c>
      <c r="K80" s="1"/>
      <c r="L80" s="1"/>
      <c r="M80" s="4">
        <v>1.0</v>
      </c>
      <c r="N80" s="1"/>
      <c r="O80" s="1"/>
      <c r="P80" s="1"/>
      <c r="Q80" s="1"/>
      <c r="R80" s="1"/>
      <c r="S80" s="4">
        <v>1.0</v>
      </c>
    </row>
    <row r="81">
      <c r="A81" s="3" t="str">
        <f t="shared" si="5"/>
        <v>SI</v>
      </c>
      <c r="B81" s="4">
        <v>16.0</v>
      </c>
      <c r="C81" s="1"/>
      <c r="D81" s="1"/>
      <c r="E81" s="1"/>
      <c r="F81" s="4">
        <v>3.0</v>
      </c>
      <c r="G81" s="1"/>
      <c r="H81" s="1"/>
      <c r="I81" s="1"/>
      <c r="J81" s="1"/>
      <c r="K81" s="1"/>
      <c r="L81" s="4">
        <v>4.0</v>
      </c>
      <c r="M81" s="1"/>
      <c r="N81" s="1"/>
      <c r="O81" s="1"/>
      <c r="P81" s="1"/>
      <c r="Q81" s="1"/>
      <c r="R81" s="4">
        <v>1.0</v>
      </c>
      <c r="S81" s="1"/>
    </row>
    <row r="82">
      <c r="A82" s="3" t="s">
        <v>101</v>
      </c>
      <c r="B82" s="4">
        <v>1.0</v>
      </c>
      <c r="C82" s="1"/>
      <c r="D82" s="1"/>
      <c r="E82" s="1"/>
      <c r="F82" s="4">
        <v>1.0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4">
        <v>1.0</v>
      </c>
    </row>
    <row r="83">
      <c r="A83" s="3" t="str">
        <f t="shared" ref="A83:A97" si="6">A82</f>
        <v>Français</v>
      </c>
      <c r="B83" s="4">
        <v>2.0</v>
      </c>
      <c r="C83" s="1"/>
      <c r="D83" s="1"/>
      <c r="E83" s="1"/>
      <c r="F83" s="1"/>
      <c r="G83" s="1"/>
      <c r="H83" s="1"/>
      <c r="I83" s="1"/>
      <c r="J83" s="4">
        <v>2.0</v>
      </c>
      <c r="K83" s="1"/>
      <c r="L83" s="1"/>
      <c r="M83" s="1"/>
      <c r="N83" s="1"/>
      <c r="O83" s="1"/>
      <c r="P83" s="1"/>
      <c r="Q83" s="1"/>
      <c r="R83" s="1"/>
      <c r="S83" s="1"/>
    </row>
    <row r="84">
      <c r="A84" s="3" t="str">
        <f t="shared" si="6"/>
        <v>Français</v>
      </c>
      <c r="B84" s="4">
        <v>3.0</v>
      </c>
      <c r="C84" s="1"/>
      <c r="D84" s="1"/>
      <c r="E84" s="1"/>
      <c r="F84" s="4">
        <v>2.0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>
      <c r="A85" s="3" t="str">
        <f t="shared" si="6"/>
        <v>Français</v>
      </c>
      <c r="B85" s="4">
        <v>4.0</v>
      </c>
      <c r="C85" s="1"/>
      <c r="D85" s="1"/>
      <c r="E85" s="1"/>
      <c r="F85" s="1"/>
      <c r="G85" s="4">
        <v>2.0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>
      <c r="A86" s="3" t="str">
        <f t="shared" si="6"/>
        <v>Français</v>
      </c>
      <c r="B86" s="4">
        <v>5.0</v>
      </c>
      <c r="C86" s="1"/>
      <c r="D86" s="4">
        <v>1.0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4">
        <v>1.0</v>
      </c>
      <c r="P86" s="1"/>
      <c r="Q86" s="1"/>
      <c r="R86" s="1"/>
      <c r="S86" s="1"/>
    </row>
    <row r="87">
      <c r="A87" s="3" t="str">
        <f t="shared" si="6"/>
        <v>Français</v>
      </c>
      <c r="B87" s="4">
        <v>6.0</v>
      </c>
      <c r="C87" s="1"/>
      <c r="D87" s="1"/>
      <c r="E87" s="1"/>
      <c r="F87" s="1"/>
      <c r="G87" s="1"/>
      <c r="H87" s="1"/>
      <c r="I87" s="1"/>
      <c r="J87" s="1"/>
      <c r="K87" s="1"/>
      <c r="L87" s="4">
        <v>1.0</v>
      </c>
      <c r="M87" s="1"/>
      <c r="N87" s="1"/>
      <c r="O87" s="1"/>
      <c r="P87" s="1"/>
      <c r="Q87" s="1"/>
      <c r="R87" s="4">
        <v>1.0</v>
      </c>
      <c r="S87" s="1"/>
    </row>
    <row r="88">
      <c r="A88" s="3" t="str">
        <f t="shared" si="6"/>
        <v>Français</v>
      </c>
      <c r="B88" s="4">
        <v>7.0</v>
      </c>
      <c r="C88" s="1"/>
      <c r="D88" s="4">
        <v>2.0</v>
      </c>
      <c r="E88" s="1"/>
      <c r="F88" s="1"/>
      <c r="G88" s="1"/>
      <c r="H88" s="1"/>
      <c r="I88" s="1"/>
      <c r="J88" s="1"/>
      <c r="K88" s="1"/>
      <c r="L88" s="1"/>
      <c r="M88" s="61">
        <v>2.0</v>
      </c>
      <c r="N88" s="1"/>
      <c r="O88" s="4"/>
      <c r="P88" s="1"/>
      <c r="Q88" s="1"/>
      <c r="R88" s="1"/>
      <c r="S88" s="1"/>
    </row>
    <row r="89">
      <c r="A89" s="3" t="str">
        <f t="shared" si="6"/>
        <v>Français</v>
      </c>
      <c r="B89" s="4">
        <v>8.0</v>
      </c>
      <c r="C89" s="1"/>
      <c r="D89" s="1"/>
      <c r="E89" s="1"/>
      <c r="F89" s="1"/>
      <c r="G89" s="1"/>
      <c r="H89" s="1"/>
      <c r="I89" s="1"/>
      <c r="J89" s="1"/>
      <c r="K89" s="1"/>
      <c r="L89" s="4">
        <v>2.0</v>
      </c>
      <c r="M89" s="1"/>
      <c r="N89" s="1"/>
      <c r="O89" s="1"/>
      <c r="P89" s="1"/>
      <c r="Q89" s="1"/>
      <c r="R89" s="4">
        <v>2.0</v>
      </c>
      <c r="S89" s="1"/>
    </row>
    <row r="90">
      <c r="A90" s="3" t="str">
        <f t="shared" si="6"/>
        <v>Français</v>
      </c>
      <c r="B90" s="4">
        <v>9.0</v>
      </c>
      <c r="C90" s="1"/>
      <c r="D90" s="1"/>
      <c r="E90" s="1"/>
      <c r="F90" s="1"/>
      <c r="G90" s="1"/>
      <c r="H90" s="4"/>
      <c r="I90" s="4">
        <v>1.0</v>
      </c>
      <c r="J90" s="1"/>
      <c r="K90" s="1"/>
      <c r="L90" s="1"/>
      <c r="M90" s="4"/>
      <c r="N90" s="1"/>
      <c r="O90" s="61">
        <v>2.0</v>
      </c>
      <c r="P90" s="1"/>
      <c r="Q90" s="1"/>
      <c r="R90" s="1"/>
      <c r="S90" s="1"/>
    </row>
    <row r="91">
      <c r="A91" s="3" t="str">
        <f t="shared" si="6"/>
        <v>Français</v>
      </c>
      <c r="B91" s="4">
        <v>10.0</v>
      </c>
      <c r="C91" s="1"/>
      <c r="D91" s="1"/>
      <c r="E91" s="4">
        <v>2.0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>
      <c r="A92" s="3" t="str">
        <f t="shared" si="6"/>
        <v>Français</v>
      </c>
      <c r="B92" s="4">
        <v>11.0</v>
      </c>
      <c r="C92" s="1"/>
      <c r="D92" s="1"/>
      <c r="E92" s="1"/>
      <c r="F92" s="1"/>
      <c r="G92" s="1"/>
      <c r="H92" s="4"/>
      <c r="I92" s="4">
        <v>2.0</v>
      </c>
      <c r="J92" s="1"/>
      <c r="K92" s="1"/>
      <c r="L92" s="1"/>
      <c r="M92" s="4">
        <v>1.0</v>
      </c>
      <c r="N92" s="1"/>
      <c r="O92" s="1"/>
      <c r="P92" s="1"/>
      <c r="Q92" s="1"/>
      <c r="R92" s="1"/>
      <c r="S92" s="1"/>
    </row>
    <row r="93">
      <c r="A93" s="3" t="str">
        <f t="shared" si="6"/>
        <v>Français</v>
      </c>
      <c r="B93" s="4">
        <v>12.0</v>
      </c>
      <c r="C93" s="1"/>
      <c r="D93" s="1"/>
      <c r="E93" s="4">
        <v>1.0</v>
      </c>
      <c r="F93" s="1"/>
      <c r="G93" s="1"/>
      <c r="H93" s="1"/>
      <c r="I93" s="1"/>
      <c r="J93" s="1"/>
      <c r="K93" s="1"/>
      <c r="L93" s="1"/>
      <c r="M93" s="1"/>
      <c r="N93" s="4">
        <v>1.0</v>
      </c>
      <c r="O93" s="1"/>
      <c r="P93" s="1"/>
      <c r="Q93" s="1"/>
      <c r="R93" s="1"/>
      <c r="S93" s="1"/>
    </row>
    <row r="94">
      <c r="A94" s="3" t="str">
        <f t="shared" si="6"/>
        <v>Français</v>
      </c>
      <c r="B94" s="4">
        <v>13.0</v>
      </c>
      <c r="C94" s="1"/>
      <c r="D94" s="1"/>
      <c r="E94" s="1"/>
      <c r="F94" s="1"/>
      <c r="G94" s="1"/>
      <c r="H94" s="1"/>
      <c r="I94" s="1"/>
      <c r="J94" s="1"/>
      <c r="K94" s="4">
        <v>1.0</v>
      </c>
      <c r="L94" s="1"/>
      <c r="M94" s="1"/>
      <c r="N94" s="1"/>
      <c r="O94" s="1"/>
      <c r="P94" s="1"/>
      <c r="Q94" s="1"/>
      <c r="R94" s="1"/>
      <c r="S94" s="4">
        <v>2.0</v>
      </c>
    </row>
    <row r="95">
      <c r="A95" s="3" t="str">
        <f t="shared" si="6"/>
        <v>Français</v>
      </c>
      <c r="B95" s="4">
        <v>14.0</v>
      </c>
      <c r="C95" s="1"/>
      <c r="D95" s="1"/>
      <c r="E95" s="1"/>
      <c r="F95" s="1"/>
      <c r="G95" s="1"/>
      <c r="H95" s="1"/>
      <c r="I95" s="1"/>
      <c r="J95" s="4">
        <v>1.0</v>
      </c>
      <c r="K95" s="1"/>
      <c r="L95" s="1"/>
      <c r="M95" s="1"/>
      <c r="N95" s="1"/>
      <c r="O95" s="1"/>
      <c r="P95" s="1"/>
      <c r="Q95" s="1"/>
      <c r="R95" s="1"/>
      <c r="S95" s="1"/>
    </row>
    <row r="96">
      <c r="A96" s="3" t="str">
        <f t="shared" si="6"/>
        <v>Français</v>
      </c>
      <c r="B96" s="4">
        <v>15.0</v>
      </c>
      <c r="C96" s="1"/>
      <c r="D96" s="1"/>
      <c r="E96" s="1"/>
      <c r="F96" s="1"/>
      <c r="G96" s="1"/>
      <c r="H96" s="1"/>
      <c r="I96" s="1"/>
      <c r="J96" s="1"/>
      <c r="K96" s="4">
        <v>2.0</v>
      </c>
      <c r="L96" s="1"/>
      <c r="M96" s="1"/>
      <c r="N96" s="1"/>
      <c r="O96" s="1"/>
      <c r="P96" s="1"/>
      <c r="Q96" s="1"/>
      <c r="R96" s="1"/>
      <c r="S96" s="1"/>
    </row>
    <row r="97">
      <c r="A97" s="3" t="str">
        <f t="shared" si="6"/>
        <v>Français</v>
      </c>
      <c r="B97" s="4">
        <v>16.0</v>
      </c>
      <c r="C97" s="1"/>
      <c r="D97" s="1"/>
      <c r="E97" s="1"/>
      <c r="F97" s="1"/>
      <c r="G97" s="4">
        <v>1.0</v>
      </c>
      <c r="H97" s="1"/>
      <c r="I97" s="1"/>
      <c r="J97" s="1"/>
      <c r="K97" s="1"/>
      <c r="L97" s="1"/>
      <c r="M97" s="1"/>
      <c r="N97" s="4">
        <v>2.0</v>
      </c>
      <c r="O97" s="1"/>
      <c r="P97" s="1"/>
      <c r="Q97" s="1"/>
      <c r="R97" s="1"/>
      <c r="S97" s="1"/>
    </row>
    <row r="98">
      <c r="A98" s="1"/>
    </row>
    <row r="99">
      <c r="A99" s="1"/>
    </row>
    <row r="100">
      <c r="A100" s="1"/>
    </row>
    <row r="101">
      <c r="A101" s="1"/>
    </row>
    <row r="102">
      <c r="A102" s="1"/>
    </row>
    <row r="103">
      <c r="A103" s="1"/>
    </row>
    <row r="104">
      <c r="A104" s="1"/>
    </row>
    <row r="105">
      <c r="A105" s="1"/>
    </row>
    <row r="106">
      <c r="A106" s="1"/>
    </row>
    <row r="107">
      <c r="A107" s="1"/>
    </row>
    <row r="108">
      <c r="A108" s="1"/>
    </row>
    <row r="109">
      <c r="A109" s="1"/>
    </row>
    <row r="110">
      <c r="A110" s="1"/>
    </row>
    <row r="111">
      <c r="A111" s="1"/>
    </row>
    <row r="112">
      <c r="A112" s="1"/>
    </row>
    <row r="113">
      <c r="A113" s="1"/>
    </row>
    <row r="114">
      <c r="A114" s="1"/>
    </row>
    <row r="115">
      <c r="A115" s="1"/>
    </row>
    <row r="116">
      <c r="A116" s="1"/>
    </row>
    <row r="117">
      <c r="A117" s="1"/>
    </row>
    <row r="118">
      <c r="A118" s="1"/>
    </row>
    <row r="119">
      <c r="A119" s="1"/>
    </row>
    <row r="120">
      <c r="A120" s="1"/>
    </row>
    <row r="121">
      <c r="A121" s="1"/>
    </row>
    <row r="122">
      <c r="A122" s="1"/>
    </row>
    <row r="123">
      <c r="A123" s="1"/>
    </row>
    <row r="124">
      <c r="A124" s="1"/>
    </row>
    <row r="125">
      <c r="A125" s="1"/>
    </row>
    <row r="126">
      <c r="A126" s="1"/>
    </row>
    <row r="127">
      <c r="A127" s="1"/>
    </row>
    <row r="128">
      <c r="A128" s="1"/>
    </row>
    <row r="129">
      <c r="A129" s="1"/>
    </row>
    <row r="130">
      <c r="A130" s="1"/>
    </row>
    <row r="131">
      <c r="A131" s="1"/>
    </row>
    <row r="132">
      <c r="A132" s="1"/>
    </row>
    <row r="133">
      <c r="A133" s="1"/>
    </row>
    <row r="134">
      <c r="A134" s="1"/>
    </row>
    <row r="135">
      <c r="A135" s="1"/>
    </row>
    <row r="136">
      <c r="A136" s="1"/>
    </row>
    <row r="137">
      <c r="A137" s="1"/>
    </row>
    <row r="138">
      <c r="A138" s="1"/>
    </row>
    <row r="139">
      <c r="A139" s="1"/>
    </row>
    <row r="140">
      <c r="A140" s="1"/>
    </row>
    <row r="141">
      <c r="A141" s="1"/>
    </row>
    <row r="142">
      <c r="A142" s="1"/>
    </row>
    <row r="143">
      <c r="A143" s="1"/>
    </row>
    <row r="144">
      <c r="A144" s="1"/>
    </row>
    <row r="145">
      <c r="A145" s="1"/>
    </row>
    <row r="146">
      <c r="A146" s="1"/>
    </row>
    <row r="147">
      <c r="A147" s="1"/>
    </row>
    <row r="148">
      <c r="A148" s="1"/>
    </row>
    <row r="149">
      <c r="A149" s="1"/>
    </row>
    <row r="150">
      <c r="A150" s="1"/>
    </row>
    <row r="151">
      <c r="A151" s="1"/>
    </row>
    <row r="152">
      <c r="A152" s="1"/>
    </row>
    <row r="153">
      <c r="A153" s="1"/>
    </row>
    <row r="154">
      <c r="A154" s="1"/>
    </row>
    <row r="155">
      <c r="A155" s="1"/>
    </row>
    <row r="156">
      <c r="A156" s="1"/>
    </row>
    <row r="157">
      <c r="A157" s="1"/>
    </row>
    <row r="158">
      <c r="A158" s="1"/>
    </row>
    <row r="159">
      <c r="A159" s="1"/>
    </row>
    <row r="160">
      <c r="A160" s="1"/>
    </row>
    <row r="161">
      <c r="A161" s="1"/>
    </row>
    <row r="162">
      <c r="A162" s="1"/>
    </row>
    <row r="163">
      <c r="A163" s="1"/>
    </row>
    <row r="164">
      <c r="A164" s="1"/>
    </row>
    <row r="165">
      <c r="A165" s="1"/>
    </row>
    <row r="166">
      <c r="A166" s="1"/>
    </row>
    <row r="167">
      <c r="A167" s="1"/>
    </row>
    <row r="168">
      <c r="A168" s="1"/>
    </row>
    <row r="169">
      <c r="A169" s="1"/>
    </row>
    <row r="170">
      <c r="A170" s="1"/>
    </row>
    <row r="171">
      <c r="A171" s="1"/>
    </row>
    <row r="172">
      <c r="A172" s="1"/>
    </row>
    <row r="173">
      <c r="A173" s="1"/>
    </row>
    <row r="174">
      <c r="A174" s="1"/>
    </row>
    <row r="175">
      <c r="A175" s="1"/>
    </row>
    <row r="176">
      <c r="A176" s="1"/>
    </row>
    <row r="177">
      <c r="A177" s="1"/>
    </row>
    <row r="178">
      <c r="A178" s="1"/>
    </row>
    <row r="179">
      <c r="A179" s="1"/>
    </row>
    <row r="180">
      <c r="A180" s="1"/>
    </row>
    <row r="181">
      <c r="A181" s="1"/>
    </row>
    <row r="182">
      <c r="A182" s="1"/>
    </row>
    <row r="183">
      <c r="A183" s="1"/>
    </row>
    <row r="184">
      <c r="A184" s="1"/>
    </row>
    <row r="185">
      <c r="A185" s="1"/>
    </row>
    <row r="186">
      <c r="A186" s="1"/>
    </row>
    <row r="187">
      <c r="A187" s="1"/>
    </row>
    <row r="188">
      <c r="A188" s="1"/>
    </row>
    <row r="189">
      <c r="A189" s="1"/>
    </row>
    <row r="190">
      <c r="A190" s="1"/>
    </row>
    <row r="191">
      <c r="A191" s="1"/>
    </row>
    <row r="192">
      <c r="A192" s="1"/>
    </row>
    <row r="193">
      <c r="A193" s="1"/>
    </row>
    <row r="194">
      <c r="A194" s="1"/>
    </row>
    <row r="195">
      <c r="A195" s="1"/>
    </row>
    <row r="196">
      <c r="A196" s="1"/>
    </row>
    <row r="197">
      <c r="A197" s="1"/>
    </row>
    <row r="198">
      <c r="A198" s="1"/>
    </row>
    <row r="199">
      <c r="A199" s="1"/>
    </row>
    <row r="200">
      <c r="A200" s="1"/>
    </row>
    <row r="201">
      <c r="A201" s="1"/>
    </row>
    <row r="202">
      <c r="A202" s="1"/>
    </row>
    <row r="203">
      <c r="A203" s="1"/>
    </row>
    <row r="204">
      <c r="A204" s="1"/>
    </row>
    <row r="205">
      <c r="A205" s="1"/>
    </row>
    <row r="206">
      <c r="A206" s="1"/>
    </row>
    <row r="207">
      <c r="A207" s="1"/>
    </row>
    <row r="208">
      <c r="A208" s="1"/>
    </row>
    <row r="209">
      <c r="A209" s="1"/>
    </row>
    <row r="210">
      <c r="A210" s="1"/>
    </row>
    <row r="211">
      <c r="A211" s="1"/>
    </row>
    <row r="212">
      <c r="A212" s="1"/>
    </row>
    <row r="213">
      <c r="A213" s="1"/>
    </row>
    <row r="214">
      <c r="A214" s="1"/>
    </row>
    <row r="215">
      <c r="A215" s="1"/>
    </row>
    <row r="216">
      <c r="A216" s="1"/>
    </row>
    <row r="217">
      <c r="A217" s="1"/>
    </row>
    <row r="218">
      <c r="A218" s="1"/>
    </row>
    <row r="219">
      <c r="A219" s="1"/>
    </row>
    <row r="220">
      <c r="A220" s="1"/>
    </row>
    <row r="221">
      <c r="A221" s="1"/>
    </row>
    <row r="222">
      <c r="A222" s="1"/>
    </row>
    <row r="223">
      <c r="A223" s="1"/>
    </row>
    <row r="224">
      <c r="A224" s="1"/>
    </row>
    <row r="225">
      <c r="A225" s="1"/>
    </row>
    <row r="226">
      <c r="A226" s="1"/>
    </row>
    <row r="227">
      <c r="A227" s="1"/>
    </row>
    <row r="228">
      <c r="A228" s="1"/>
    </row>
    <row r="229">
      <c r="A229" s="1"/>
    </row>
    <row r="230">
      <c r="A230" s="1"/>
    </row>
    <row r="231">
      <c r="A231" s="1"/>
    </row>
    <row r="232">
      <c r="A232" s="1"/>
    </row>
    <row r="233">
      <c r="A233" s="1"/>
    </row>
    <row r="234">
      <c r="A234" s="1"/>
    </row>
    <row r="235">
      <c r="A235" s="1"/>
    </row>
    <row r="236">
      <c r="A236" s="1"/>
    </row>
    <row r="237">
      <c r="A237" s="1"/>
    </row>
    <row r="238">
      <c r="A238" s="1"/>
    </row>
    <row r="239">
      <c r="A239" s="1"/>
    </row>
    <row r="240">
      <c r="A240" s="1"/>
    </row>
    <row r="241">
      <c r="A241" s="1"/>
    </row>
    <row r="242">
      <c r="A242" s="1"/>
    </row>
    <row r="243">
      <c r="A243" s="1"/>
    </row>
    <row r="244">
      <c r="A244" s="1"/>
    </row>
    <row r="245">
      <c r="A245" s="1"/>
    </row>
    <row r="246">
      <c r="A246" s="1"/>
    </row>
    <row r="247">
      <c r="A247" s="1"/>
    </row>
    <row r="248">
      <c r="A248" s="1"/>
    </row>
    <row r="249">
      <c r="A249" s="1"/>
    </row>
    <row r="250">
      <c r="A250" s="1"/>
    </row>
    <row r="251">
      <c r="A251" s="1"/>
    </row>
    <row r="252">
      <c r="A252" s="1"/>
    </row>
    <row r="253">
      <c r="A253" s="1"/>
    </row>
    <row r="254">
      <c r="A254" s="1"/>
    </row>
    <row r="255">
      <c r="A255" s="1"/>
    </row>
    <row r="256">
      <c r="A256" s="1"/>
    </row>
    <row r="257">
      <c r="A257" s="1"/>
    </row>
    <row r="258">
      <c r="A258" s="1"/>
    </row>
    <row r="259">
      <c r="A259" s="1"/>
    </row>
    <row r="260">
      <c r="A260" s="1"/>
    </row>
    <row r="261">
      <c r="A261" s="1"/>
    </row>
    <row r="262">
      <c r="A262" s="1"/>
    </row>
    <row r="263">
      <c r="A263" s="1"/>
    </row>
    <row r="264">
      <c r="A264" s="1"/>
    </row>
    <row r="265">
      <c r="A265" s="1"/>
    </row>
    <row r="266">
      <c r="A266" s="1"/>
    </row>
    <row r="267">
      <c r="A267" s="1"/>
    </row>
    <row r="268">
      <c r="A268" s="1"/>
    </row>
    <row r="269">
      <c r="A269" s="1"/>
    </row>
    <row r="270">
      <c r="A270" s="1"/>
    </row>
    <row r="271">
      <c r="A271" s="1"/>
    </row>
    <row r="272">
      <c r="A272" s="1"/>
    </row>
    <row r="273">
      <c r="A273" s="1"/>
    </row>
    <row r="274">
      <c r="A274" s="1"/>
    </row>
    <row r="275">
      <c r="A275" s="1"/>
    </row>
    <row r="276">
      <c r="A276" s="1"/>
    </row>
    <row r="277">
      <c r="A277" s="1"/>
    </row>
    <row r="278">
      <c r="A278" s="1"/>
    </row>
    <row r="279">
      <c r="A279" s="1"/>
    </row>
    <row r="280">
      <c r="A280" s="1"/>
    </row>
    <row r="281">
      <c r="A281" s="1"/>
    </row>
    <row r="282">
      <c r="A282" s="1"/>
    </row>
    <row r="283">
      <c r="A283" s="1"/>
    </row>
    <row r="284">
      <c r="A284" s="1"/>
    </row>
    <row r="285">
      <c r="A285" s="1"/>
    </row>
    <row r="286">
      <c r="A286" s="1"/>
    </row>
    <row r="287">
      <c r="A287" s="1"/>
    </row>
    <row r="288">
      <c r="A288" s="1"/>
    </row>
    <row r="289">
      <c r="A289" s="1"/>
    </row>
    <row r="290">
      <c r="A290" s="1"/>
    </row>
    <row r="291">
      <c r="A291" s="1"/>
    </row>
    <row r="292">
      <c r="A292" s="1"/>
    </row>
    <row r="293">
      <c r="A293" s="1"/>
    </row>
    <row r="294">
      <c r="A294" s="1"/>
    </row>
    <row r="295">
      <c r="A295" s="1"/>
    </row>
    <row r="296">
      <c r="A296" s="1"/>
    </row>
    <row r="297">
      <c r="A297" s="1"/>
    </row>
    <row r="298">
      <c r="A298" s="1"/>
    </row>
    <row r="299">
      <c r="A299" s="1"/>
    </row>
    <row r="300">
      <c r="A300" s="1"/>
    </row>
    <row r="301">
      <c r="A301" s="1"/>
    </row>
    <row r="302">
      <c r="A302" s="1"/>
    </row>
    <row r="303">
      <c r="A303" s="1"/>
    </row>
    <row r="304">
      <c r="A304" s="1"/>
    </row>
    <row r="305">
      <c r="A305" s="1"/>
    </row>
    <row r="306">
      <c r="A306" s="1"/>
    </row>
    <row r="307">
      <c r="A307" s="1"/>
    </row>
    <row r="308">
      <c r="A308" s="1"/>
    </row>
    <row r="309">
      <c r="A309" s="1"/>
    </row>
    <row r="310">
      <c r="A310" s="1"/>
    </row>
    <row r="311">
      <c r="A311" s="1"/>
    </row>
    <row r="312">
      <c r="A312" s="1"/>
    </row>
    <row r="313">
      <c r="A313" s="1"/>
    </row>
    <row r="314">
      <c r="A314" s="1"/>
    </row>
    <row r="315">
      <c r="A315" s="1"/>
    </row>
    <row r="316">
      <c r="A316" s="1"/>
    </row>
    <row r="317">
      <c r="A317" s="1"/>
    </row>
    <row r="318">
      <c r="A318" s="1"/>
    </row>
    <row r="319">
      <c r="A319" s="1"/>
    </row>
    <row r="320">
      <c r="A320" s="1"/>
    </row>
    <row r="321">
      <c r="A321" s="1"/>
    </row>
    <row r="322">
      <c r="A322" s="1"/>
    </row>
    <row r="323">
      <c r="A323" s="1"/>
    </row>
    <row r="324">
      <c r="A324" s="1"/>
    </row>
    <row r="325">
      <c r="A325" s="1"/>
    </row>
    <row r="326">
      <c r="A326" s="1"/>
    </row>
    <row r="327">
      <c r="A327" s="1"/>
    </row>
    <row r="328">
      <c r="A328" s="1"/>
    </row>
    <row r="329">
      <c r="A329" s="1"/>
    </row>
    <row r="330">
      <c r="A330" s="1"/>
    </row>
    <row r="331">
      <c r="A331" s="1"/>
    </row>
    <row r="332">
      <c r="A332" s="1"/>
    </row>
    <row r="333">
      <c r="A333" s="1"/>
    </row>
    <row r="334">
      <c r="A334" s="1"/>
    </row>
    <row r="335">
      <c r="A335" s="1"/>
    </row>
    <row r="336">
      <c r="A336" s="1"/>
    </row>
    <row r="337">
      <c r="A337" s="1"/>
    </row>
    <row r="338">
      <c r="A338" s="1"/>
    </row>
    <row r="339">
      <c r="A339" s="1"/>
    </row>
    <row r="340">
      <c r="A340" s="1"/>
    </row>
    <row r="341">
      <c r="A341" s="1"/>
    </row>
    <row r="342">
      <c r="A342" s="1"/>
    </row>
    <row r="343">
      <c r="A343" s="1"/>
    </row>
    <row r="344">
      <c r="A344" s="1"/>
    </row>
    <row r="345">
      <c r="A345" s="1"/>
    </row>
    <row r="346">
      <c r="A346" s="1"/>
    </row>
    <row r="347">
      <c r="A347" s="1"/>
    </row>
    <row r="348">
      <c r="A348" s="1"/>
    </row>
    <row r="349">
      <c r="A349" s="1"/>
    </row>
    <row r="350">
      <c r="A350" s="1"/>
    </row>
    <row r="351">
      <c r="A351" s="1"/>
    </row>
    <row r="352">
      <c r="A352" s="1"/>
    </row>
    <row r="353">
      <c r="A353" s="1"/>
    </row>
    <row r="354">
      <c r="A354" s="1"/>
    </row>
    <row r="355">
      <c r="A355" s="1"/>
    </row>
    <row r="356">
      <c r="A356" s="1"/>
    </row>
    <row r="357">
      <c r="A357" s="1"/>
    </row>
    <row r="358">
      <c r="A358" s="1"/>
    </row>
    <row r="359">
      <c r="A359" s="1"/>
    </row>
    <row r="360">
      <c r="A360" s="1"/>
    </row>
    <row r="361">
      <c r="A361" s="1"/>
    </row>
    <row r="362">
      <c r="A362" s="1"/>
    </row>
    <row r="363">
      <c r="A363" s="1"/>
    </row>
    <row r="364">
      <c r="A364" s="1"/>
    </row>
    <row r="365">
      <c r="A365" s="1"/>
    </row>
    <row r="366">
      <c r="A366" s="1"/>
    </row>
    <row r="367">
      <c r="A367" s="1"/>
    </row>
    <row r="368">
      <c r="A368" s="1"/>
    </row>
    <row r="369">
      <c r="A369" s="1"/>
    </row>
    <row r="370">
      <c r="A370" s="1"/>
    </row>
    <row r="371">
      <c r="A371" s="1"/>
    </row>
    <row r="372">
      <c r="A372" s="1"/>
    </row>
    <row r="373">
      <c r="A373" s="1"/>
    </row>
    <row r="374">
      <c r="A374" s="1"/>
    </row>
    <row r="375">
      <c r="A375" s="1"/>
    </row>
    <row r="376">
      <c r="A376" s="1"/>
    </row>
    <row r="377">
      <c r="A377" s="1"/>
    </row>
    <row r="378">
      <c r="A378" s="1"/>
    </row>
    <row r="379">
      <c r="A379" s="1"/>
    </row>
    <row r="380">
      <c r="A380" s="1"/>
    </row>
    <row r="381">
      <c r="A381" s="1"/>
    </row>
    <row r="382">
      <c r="A382" s="1"/>
    </row>
    <row r="383">
      <c r="A383" s="1"/>
    </row>
    <row r="384">
      <c r="A384" s="1"/>
    </row>
    <row r="385">
      <c r="A385" s="1"/>
    </row>
    <row r="386">
      <c r="A386" s="1"/>
    </row>
    <row r="387">
      <c r="A387" s="1"/>
    </row>
    <row r="388">
      <c r="A388" s="1"/>
    </row>
    <row r="389">
      <c r="A389" s="1"/>
    </row>
    <row r="390">
      <c r="A390" s="1"/>
    </row>
    <row r="391">
      <c r="A391" s="1"/>
    </row>
    <row r="392">
      <c r="A392" s="1"/>
    </row>
    <row r="393">
      <c r="A393" s="1"/>
    </row>
    <row r="394">
      <c r="A394" s="1"/>
    </row>
    <row r="395">
      <c r="A395" s="1"/>
    </row>
    <row r="396">
      <c r="A396" s="1"/>
    </row>
    <row r="397">
      <c r="A397" s="1"/>
    </row>
    <row r="398">
      <c r="A398" s="1"/>
    </row>
    <row r="399">
      <c r="A399" s="1"/>
    </row>
    <row r="400">
      <c r="A400" s="1"/>
    </row>
    <row r="401">
      <c r="A401" s="1"/>
    </row>
    <row r="402">
      <c r="A402" s="1"/>
    </row>
    <row r="403">
      <c r="A403" s="1"/>
    </row>
    <row r="404">
      <c r="A404" s="1"/>
    </row>
    <row r="405">
      <c r="A405" s="1"/>
    </row>
    <row r="406">
      <c r="A406" s="1"/>
    </row>
    <row r="407">
      <c r="A407" s="1"/>
    </row>
    <row r="408">
      <c r="A408" s="1"/>
    </row>
    <row r="409">
      <c r="A409" s="1"/>
    </row>
    <row r="410">
      <c r="A410" s="1"/>
    </row>
    <row r="411">
      <c r="A411" s="1"/>
    </row>
    <row r="412">
      <c r="A412" s="1"/>
    </row>
    <row r="413">
      <c r="A413" s="1"/>
    </row>
    <row r="414">
      <c r="A414" s="1"/>
    </row>
    <row r="415">
      <c r="A415" s="1"/>
    </row>
    <row r="416">
      <c r="A416" s="1"/>
    </row>
    <row r="417">
      <c r="A417" s="1"/>
    </row>
    <row r="418">
      <c r="A418" s="1"/>
    </row>
    <row r="419">
      <c r="A419" s="1"/>
    </row>
    <row r="420">
      <c r="A420" s="1"/>
    </row>
    <row r="421">
      <c r="A421" s="1"/>
    </row>
    <row r="422">
      <c r="A422" s="1"/>
    </row>
    <row r="423">
      <c r="A423" s="1"/>
    </row>
    <row r="424">
      <c r="A424" s="1"/>
    </row>
    <row r="425">
      <c r="A425" s="1"/>
    </row>
    <row r="426">
      <c r="A426" s="1"/>
    </row>
    <row r="427">
      <c r="A427" s="1"/>
    </row>
    <row r="428">
      <c r="A428" s="1"/>
    </row>
    <row r="429">
      <c r="A429" s="1"/>
    </row>
    <row r="430">
      <c r="A430" s="1"/>
    </row>
    <row r="431">
      <c r="A431" s="1"/>
    </row>
    <row r="432">
      <c r="A432" s="1"/>
    </row>
    <row r="433">
      <c r="A433" s="1"/>
    </row>
    <row r="434">
      <c r="A434" s="1"/>
    </row>
    <row r="435">
      <c r="A435" s="1"/>
    </row>
    <row r="436">
      <c r="A436" s="1"/>
    </row>
    <row r="437">
      <c r="A437" s="1"/>
    </row>
    <row r="438">
      <c r="A438" s="1"/>
    </row>
    <row r="439">
      <c r="A439" s="1"/>
    </row>
    <row r="440">
      <c r="A440" s="1"/>
    </row>
    <row r="441">
      <c r="A441" s="1"/>
    </row>
    <row r="442">
      <c r="A442" s="1"/>
    </row>
    <row r="443">
      <c r="A443" s="1"/>
    </row>
    <row r="444">
      <c r="A444" s="1"/>
    </row>
    <row r="445">
      <c r="A445" s="1"/>
    </row>
    <row r="446">
      <c r="A446" s="1"/>
    </row>
    <row r="447">
      <c r="A447" s="1"/>
    </row>
    <row r="448">
      <c r="A448" s="1"/>
    </row>
    <row r="449">
      <c r="A449" s="1"/>
    </row>
    <row r="450">
      <c r="A450" s="1"/>
    </row>
    <row r="451">
      <c r="A451" s="1"/>
    </row>
    <row r="452">
      <c r="A452" s="1"/>
    </row>
    <row r="453">
      <c r="A453" s="1"/>
    </row>
    <row r="454">
      <c r="A454" s="1"/>
    </row>
    <row r="455">
      <c r="A455" s="1"/>
    </row>
    <row r="456">
      <c r="A456" s="1"/>
    </row>
    <row r="457">
      <c r="A457" s="1"/>
    </row>
    <row r="458">
      <c r="A458" s="1"/>
    </row>
    <row r="459">
      <c r="A459" s="1"/>
    </row>
    <row r="460">
      <c r="A460" s="1"/>
    </row>
    <row r="461">
      <c r="A461" s="1"/>
    </row>
    <row r="462">
      <c r="A462" s="1"/>
    </row>
    <row r="463">
      <c r="A463" s="1"/>
    </row>
    <row r="464">
      <c r="A464" s="1"/>
    </row>
    <row r="465">
      <c r="A465" s="1"/>
    </row>
    <row r="466">
      <c r="A466" s="1"/>
    </row>
    <row r="467">
      <c r="A467" s="1"/>
    </row>
    <row r="468">
      <c r="A468" s="1"/>
    </row>
    <row r="469">
      <c r="A469" s="1"/>
    </row>
    <row r="470">
      <c r="A470" s="1"/>
    </row>
    <row r="471">
      <c r="A471" s="1"/>
    </row>
    <row r="472">
      <c r="A472" s="1"/>
    </row>
    <row r="473">
      <c r="A473" s="1"/>
    </row>
    <row r="474">
      <c r="A474" s="1"/>
    </row>
    <row r="475">
      <c r="A475" s="1"/>
    </row>
    <row r="476">
      <c r="A476" s="1"/>
    </row>
    <row r="477">
      <c r="A477" s="1"/>
    </row>
    <row r="478">
      <c r="A478" s="1"/>
    </row>
    <row r="479">
      <c r="A479" s="1"/>
    </row>
    <row r="480">
      <c r="A480" s="1"/>
    </row>
    <row r="481">
      <c r="A481" s="1"/>
    </row>
    <row r="482">
      <c r="A482" s="1"/>
    </row>
    <row r="483">
      <c r="A483" s="1"/>
    </row>
    <row r="484">
      <c r="A484" s="1"/>
    </row>
    <row r="485">
      <c r="A485" s="1"/>
    </row>
    <row r="486">
      <c r="A486" s="1"/>
    </row>
    <row r="487">
      <c r="A487" s="1"/>
    </row>
    <row r="488">
      <c r="A488" s="1"/>
    </row>
    <row r="489">
      <c r="A489" s="1"/>
    </row>
    <row r="490">
      <c r="A490" s="1"/>
    </row>
    <row r="491">
      <c r="A491" s="1"/>
    </row>
    <row r="492">
      <c r="A492" s="1"/>
    </row>
    <row r="493">
      <c r="A493" s="1"/>
    </row>
    <row r="494">
      <c r="A494" s="1"/>
    </row>
    <row r="495">
      <c r="A495" s="1"/>
    </row>
    <row r="496">
      <c r="A496" s="1"/>
    </row>
    <row r="497">
      <c r="A497" s="1"/>
    </row>
    <row r="498">
      <c r="A498" s="1"/>
    </row>
    <row r="499">
      <c r="A499" s="1"/>
    </row>
    <row r="500">
      <c r="A500" s="1"/>
    </row>
    <row r="501">
      <c r="A501" s="1"/>
    </row>
    <row r="502">
      <c r="A502" s="1"/>
    </row>
    <row r="503">
      <c r="A503" s="1"/>
    </row>
    <row r="504">
      <c r="A504" s="1"/>
    </row>
    <row r="505">
      <c r="A505" s="1"/>
    </row>
    <row r="506">
      <c r="A506" s="1"/>
    </row>
    <row r="507">
      <c r="A507" s="1"/>
    </row>
    <row r="508">
      <c r="A508" s="1"/>
    </row>
    <row r="509">
      <c r="A509" s="1"/>
    </row>
    <row r="510">
      <c r="A510" s="1"/>
    </row>
    <row r="511">
      <c r="A511" s="1"/>
    </row>
    <row r="512">
      <c r="A512" s="1"/>
    </row>
    <row r="513">
      <c r="A513" s="1"/>
    </row>
    <row r="514">
      <c r="A514" s="1"/>
    </row>
    <row r="515">
      <c r="A515" s="1"/>
    </row>
    <row r="516">
      <c r="A516" s="1"/>
    </row>
    <row r="517">
      <c r="A517" s="1"/>
    </row>
    <row r="518">
      <c r="A518" s="1"/>
    </row>
    <row r="519">
      <c r="A519" s="1"/>
    </row>
    <row r="520">
      <c r="A520" s="1"/>
    </row>
    <row r="521">
      <c r="A521" s="1"/>
    </row>
    <row r="522">
      <c r="A522" s="1"/>
    </row>
    <row r="523">
      <c r="A523" s="1"/>
    </row>
    <row r="524">
      <c r="A524" s="1"/>
    </row>
    <row r="525">
      <c r="A525" s="1"/>
    </row>
    <row r="526">
      <c r="A526" s="1"/>
    </row>
    <row r="527">
      <c r="A527" s="1"/>
    </row>
    <row r="528">
      <c r="A528" s="1"/>
    </row>
    <row r="529">
      <c r="A529" s="1"/>
    </row>
    <row r="530">
      <c r="A530" s="1"/>
    </row>
    <row r="531">
      <c r="A531" s="1"/>
    </row>
    <row r="532">
      <c r="A532" s="1"/>
    </row>
    <row r="533">
      <c r="A533" s="1"/>
    </row>
    <row r="534">
      <c r="A534" s="1"/>
    </row>
    <row r="535">
      <c r="A535" s="1"/>
    </row>
    <row r="536">
      <c r="A536" s="1"/>
    </row>
    <row r="537">
      <c r="A537" s="1"/>
    </row>
    <row r="538">
      <c r="A538" s="1"/>
    </row>
    <row r="539">
      <c r="A539" s="1"/>
    </row>
    <row r="540">
      <c r="A540" s="1"/>
    </row>
    <row r="541">
      <c r="A541" s="1"/>
    </row>
    <row r="542">
      <c r="A542" s="1"/>
    </row>
    <row r="543">
      <c r="A543" s="1"/>
    </row>
    <row r="544">
      <c r="A544" s="1"/>
    </row>
    <row r="545">
      <c r="A545" s="1"/>
    </row>
    <row r="546">
      <c r="A546" s="1"/>
    </row>
    <row r="547">
      <c r="A547" s="1"/>
    </row>
    <row r="548">
      <c r="A548" s="1"/>
    </row>
    <row r="549">
      <c r="A549" s="1"/>
    </row>
    <row r="550">
      <c r="A550" s="1"/>
    </row>
    <row r="551">
      <c r="A551" s="1"/>
    </row>
    <row r="552">
      <c r="A552" s="1"/>
    </row>
    <row r="553">
      <c r="A553" s="1"/>
    </row>
    <row r="554">
      <c r="A554" s="1"/>
    </row>
    <row r="555">
      <c r="A555" s="1"/>
    </row>
    <row r="556">
      <c r="A556" s="1"/>
    </row>
    <row r="557">
      <c r="A557" s="1"/>
    </row>
    <row r="558">
      <c r="A558" s="1"/>
    </row>
    <row r="559">
      <c r="A559" s="1"/>
    </row>
    <row r="560">
      <c r="A560" s="1"/>
    </row>
    <row r="561">
      <c r="A561" s="1"/>
    </row>
    <row r="562">
      <c r="A562" s="1"/>
    </row>
    <row r="563">
      <c r="A563" s="1"/>
    </row>
    <row r="564">
      <c r="A564" s="1"/>
    </row>
    <row r="565">
      <c r="A565" s="1"/>
    </row>
    <row r="566">
      <c r="A566" s="1"/>
    </row>
    <row r="567">
      <c r="A567" s="1"/>
    </row>
    <row r="568">
      <c r="A568" s="1"/>
    </row>
    <row r="569">
      <c r="A569" s="1"/>
    </row>
    <row r="570">
      <c r="A570" s="1"/>
    </row>
    <row r="571">
      <c r="A571" s="1"/>
    </row>
    <row r="572">
      <c r="A572" s="1"/>
    </row>
    <row r="573">
      <c r="A573" s="1"/>
    </row>
    <row r="574">
      <c r="A574" s="1"/>
    </row>
    <row r="575">
      <c r="A575" s="1"/>
    </row>
    <row r="576">
      <c r="A576" s="1"/>
    </row>
    <row r="577">
      <c r="A577" s="1"/>
    </row>
    <row r="578">
      <c r="A578" s="1"/>
    </row>
    <row r="579">
      <c r="A579" s="1"/>
    </row>
    <row r="580">
      <c r="A580" s="1"/>
    </row>
    <row r="581">
      <c r="A581" s="1"/>
    </row>
    <row r="582">
      <c r="A582" s="1"/>
    </row>
    <row r="583">
      <c r="A583" s="1"/>
    </row>
    <row r="584">
      <c r="A584" s="1"/>
    </row>
    <row r="585">
      <c r="A585" s="1"/>
    </row>
    <row r="586">
      <c r="A586" s="1"/>
    </row>
    <row r="587">
      <c r="A587" s="1"/>
    </row>
    <row r="588">
      <c r="A588" s="1"/>
    </row>
    <row r="589">
      <c r="A589" s="1"/>
    </row>
    <row r="590">
      <c r="A590" s="1"/>
    </row>
    <row r="591">
      <c r="A591" s="1"/>
    </row>
    <row r="592">
      <c r="A592" s="1"/>
    </row>
    <row r="593">
      <c r="A593" s="1"/>
    </row>
    <row r="594">
      <c r="A594" s="1"/>
    </row>
    <row r="595">
      <c r="A595" s="1"/>
    </row>
    <row r="596">
      <c r="A596" s="1"/>
    </row>
    <row r="597">
      <c r="A597" s="1"/>
    </row>
    <row r="598">
      <c r="A598" s="1"/>
    </row>
    <row r="599">
      <c r="A599" s="1"/>
    </row>
    <row r="600">
      <c r="A600" s="1"/>
    </row>
    <row r="601">
      <c r="A601" s="1"/>
    </row>
    <row r="602">
      <c r="A602" s="1"/>
    </row>
    <row r="603">
      <c r="A603" s="1"/>
    </row>
    <row r="604">
      <c r="A604" s="1"/>
    </row>
    <row r="605">
      <c r="A605" s="1"/>
    </row>
    <row r="606">
      <c r="A606" s="1"/>
    </row>
    <row r="607">
      <c r="A607" s="1"/>
    </row>
    <row r="608">
      <c r="A608" s="1"/>
    </row>
    <row r="609">
      <c r="A609" s="1"/>
    </row>
    <row r="610">
      <c r="A610" s="1"/>
    </row>
    <row r="611">
      <c r="A611" s="1"/>
    </row>
    <row r="612">
      <c r="A612" s="1"/>
    </row>
    <row r="613">
      <c r="A613" s="1"/>
    </row>
    <row r="614">
      <c r="A614" s="1"/>
    </row>
    <row r="615">
      <c r="A615" s="1"/>
    </row>
    <row r="616">
      <c r="A616" s="1"/>
    </row>
    <row r="617">
      <c r="A617" s="1"/>
    </row>
    <row r="618">
      <c r="A618" s="1"/>
    </row>
    <row r="619">
      <c r="A619" s="1"/>
    </row>
    <row r="620">
      <c r="A620" s="1"/>
    </row>
    <row r="621">
      <c r="A621" s="1"/>
    </row>
    <row r="622">
      <c r="A622" s="1"/>
    </row>
    <row r="623">
      <c r="A623" s="1"/>
    </row>
    <row r="624">
      <c r="A624" s="1"/>
    </row>
    <row r="625">
      <c r="A625" s="1"/>
    </row>
    <row r="626">
      <c r="A626" s="1"/>
    </row>
    <row r="627">
      <c r="A627" s="1"/>
    </row>
    <row r="628">
      <c r="A628" s="1"/>
    </row>
    <row r="629">
      <c r="A629" s="1"/>
    </row>
    <row r="630">
      <c r="A630" s="1"/>
    </row>
    <row r="631">
      <c r="A631" s="1"/>
    </row>
    <row r="632">
      <c r="A632" s="1"/>
    </row>
    <row r="633">
      <c r="A633" s="1"/>
    </row>
    <row r="634">
      <c r="A634" s="1"/>
    </row>
    <row r="635">
      <c r="A635" s="1"/>
    </row>
    <row r="636">
      <c r="A636" s="1"/>
    </row>
    <row r="637">
      <c r="A637" s="1"/>
    </row>
    <row r="638">
      <c r="A638" s="1"/>
    </row>
    <row r="639">
      <c r="A639" s="1"/>
    </row>
    <row r="640">
      <c r="A640" s="1"/>
    </row>
    <row r="641">
      <c r="A641" s="1"/>
    </row>
    <row r="642">
      <c r="A642" s="1"/>
    </row>
    <row r="643">
      <c r="A643" s="1"/>
    </row>
    <row r="644">
      <c r="A644" s="1"/>
    </row>
    <row r="645">
      <c r="A645" s="1"/>
    </row>
    <row r="646">
      <c r="A646" s="1"/>
    </row>
    <row r="647">
      <c r="A647" s="1"/>
    </row>
    <row r="648">
      <c r="A648" s="1"/>
    </row>
    <row r="649">
      <c r="A649" s="1"/>
    </row>
    <row r="650">
      <c r="A650" s="1"/>
    </row>
    <row r="651">
      <c r="A651" s="1"/>
    </row>
    <row r="652">
      <c r="A652" s="1"/>
    </row>
    <row r="653">
      <c r="A653" s="1"/>
    </row>
    <row r="654">
      <c r="A654" s="1"/>
    </row>
    <row r="655">
      <c r="A655" s="1"/>
    </row>
    <row r="656">
      <c r="A656" s="1"/>
    </row>
    <row r="657">
      <c r="A657" s="1"/>
    </row>
    <row r="658">
      <c r="A658" s="1"/>
    </row>
    <row r="659">
      <c r="A659" s="1"/>
    </row>
    <row r="660">
      <c r="A660" s="1"/>
    </row>
    <row r="661">
      <c r="A661" s="1"/>
    </row>
    <row r="662">
      <c r="A662" s="1"/>
    </row>
    <row r="663">
      <c r="A663" s="1"/>
    </row>
    <row r="664">
      <c r="A664" s="1"/>
    </row>
    <row r="665">
      <c r="A665" s="1"/>
    </row>
    <row r="666">
      <c r="A666" s="1"/>
    </row>
    <row r="667">
      <c r="A667" s="1"/>
    </row>
    <row r="668">
      <c r="A668" s="1"/>
    </row>
    <row r="669">
      <c r="A669" s="1"/>
    </row>
    <row r="670">
      <c r="A670" s="1"/>
    </row>
    <row r="671">
      <c r="A671" s="1"/>
    </row>
    <row r="672">
      <c r="A672" s="1"/>
    </row>
    <row r="673">
      <c r="A673" s="1"/>
    </row>
    <row r="674">
      <c r="A674" s="1"/>
    </row>
    <row r="675">
      <c r="A675" s="1"/>
    </row>
    <row r="676">
      <c r="A676" s="1"/>
    </row>
    <row r="677">
      <c r="A677" s="1"/>
    </row>
    <row r="678">
      <c r="A678" s="1"/>
    </row>
    <row r="679">
      <c r="A679" s="1"/>
    </row>
    <row r="680">
      <c r="A680" s="1"/>
    </row>
    <row r="681">
      <c r="A681" s="1"/>
    </row>
    <row r="682">
      <c r="A682" s="1"/>
    </row>
    <row r="683">
      <c r="A683" s="1"/>
    </row>
    <row r="684">
      <c r="A684" s="1"/>
    </row>
    <row r="685">
      <c r="A685" s="1"/>
    </row>
    <row r="686">
      <c r="A686" s="1"/>
    </row>
    <row r="687">
      <c r="A687" s="1"/>
    </row>
    <row r="688">
      <c r="A688" s="1"/>
    </row>
    <row r="689">
      <c r="A689" s="1"/>
    </row>
    <row r="690">
      <c r="A690" s="1"/>
    </row>
    <row r="691">
      <c r="A691" s="1"/>
    </row>
    <row r="692">
      <c r="A692" s="1"/>
    </row>
    <row r="693">
      <c r="A693" s="1"/>
    </row>
    <row r="694">
      <c r="A694" s="1"/>
    </row>
    <row r="695">
      <c r="A695" s="1"/>
    </row>
    <row r="696">
      <c r="A696" s="1"/>
    </row>
    <row r="697">
      <c r="A697" s="1"/>
    </row>
    <row r="698">
      <c r="A698" s="1"/>
    </row>
    <row r="699">
      <c r="A699" s="1"/>
    </row>
    <row r="700">
      <c r="A700" s="1"/>
    </row>
    <row r="701">
      <c r="A701" s="1"/>
    </row>
    <row r="702">
      <c r="A702" s="1"/>
    </row>
    <row r="703">
      <c r="A703" s="1"/>
    </row>
    <row r="704">
      <c r="A704" s="1"/>
    </row>
    <row r="705">
      <c r="A705" s="1"/>
    </row>
    <row r="706">
      <c r="A706" s="1"/>
    </row>
    <row r="707">
      <c r="A707" s="1"/>
    </row>
    <row r="708">
      <c r="A708" s="1"/>
    </row>
    <row r="709">
      <c r="A709" s="1"/>
    </row>
    <row r="710">
      <c r="A710" s="1"/>
    </row>
    <row r="711">
      <c r="A711" s="1"/>
    </row>
    <row r="712">
      <c r="A712" s="1"/>
    </row>
    <row r="713">
      <c r="A713" s="1"/>
    </row>
    <row r="714">
      <c r="A714" s="1"/>
    </row>
    <row r="715">
      <c r="A715" s="1"/>
    </row>
    <row r="716">
      <c r="A716" s="1"/>
    </row>
    <row r="717">
      <c r="A717" s="1"/>
    </row>
    <row r="718">
      <c r="A718" s="1"/>
    </row>
    <row r="719">
      <c r="A719" s="1"/>
    </row>
    <row r="720">
      <c r="A720" s="1"/>
    </row>
    <row r="721">
      <c r="A721" s="1"/>
    </row>
    <row r="722">
      <c r="A722" s="1"/>
    </row>
    <row r="723">
      <c r="A723" s="1"/>
    </row>
    <row r="724">
      <c r="A724" s="1"/>
    </row>
    <row r="725">
      <c r="A725" s="1"/>
    </row>
    <row r="726">
      <c r="A726" s="1"/>
    </row>
    <row r="727">
      <c r="A727" s="1"/>
    </row>
    <row r="728">
      <c r="A728" s="1"/>
    </row>
    <row r="729">
      <c r="A729" s="1"/>
    </row>
    <row r="730">
      <c r="A730" s="1"/>
    </row>
    <row r="731">
      <c r="A731" s="1"/>
    </row>
    <row r="732">
      <c r="A732" s="1"/>
    </row>
    <row r="733">
      <c r="A733" s="1"/>
    </row>
    <row r="734">
      <c r="A734" s="1"/>
    </row>
    <row r="735">
      <c r="A735" s="1"/>
    </row>
    <row r="736">
      <c r="A736" s="1"/>
    </row>
    <row r="737">
      <c r="A737" s="1"/>
    </row>
    <row r="738">
      <c r="A738" s="1"/>
    </row>
    <row r="739">
      <c r="A739" s="1"/>
    </row>
    <row r="740">
      <c r="A740" s="1"/>
    </row>
    <row r="741">
      <c r="A741" s="1"/>
    </row>
    <row r="742">
      <c r="A742" s="1"/>
    </row>
    <row r="743">
      <c r="A743" s="1"/>
    </row>
    <row r="744">
      <c r="A744" s="1"/>
    </row>
    <row r="745">
      <c r="A745" s="1"/>
    </row>
    <row r="746">
      <c r="A746" s="1"/>
    </row>
    <row r="747">
      <c r="A747" s="1"/>
    </row>
    <row r="748">
      <c r="A748" s="1"/>
    </row>
    <row r="749">
      <c r="A749" s="1"/>
    </row>
    <row r="750">
      <c r="A750" s="1"/>
    </row>
    <row r="751">
      <c r="A751" s="1"/>
    </row>
    <row r="752">
      <c r="A752" s="1"/>
    </row>
    <row r="753">
      <c r="A753" s="1"/>
    </row>
    <row r="754">
      <c r="A754" s="1"/>
    </row>
    <row r="755">
      <c r="A755" s="1"/>
    </row>
    <row r="756">
      <c r="A756" s="1"/>
    </row>
    <row r="757">
      <c r="A757" s="1"/>
    </row>
    <row r="758">
      <c r="A758" s="1"/>
    </row>
    <row r="759">
      <c r="A759" s="1"/>
    </row>
    <row r="760">
      <c r="A760" s="1"/>
    </row>
    <row r="761">
      <c r="A761" s="1"/>
    </row>
    <row r="762">
      <c r="A762" s="1"/>
    </row>
    <row r="763">
      <c r="A763" s="1"/>
    </row>
    <row r="764">
      <c r="A764" s="1"/>
    </row>
    <row r="765">
      <c r="A765" s="1"/>
    </row>
    <row r="766">
      <c r="A766" s="1"/>
    </row>
    <row r="767">
      <c r="A767" s="1"/>
    </row>
    <row r="768">
      <c r="A768" s="1"/>
    </row>
    <row r="769">
      <c r="A769" s="1"/>
    </row>
    <row r="770">
      <c r="A770" s="1"/>
    </row>
    <row r="771">
      <c r="A771" s="1"/>
    </row>
    <row r="772">
      <c r="A772" s="1"/>
    </row>
    <row r="773">
      <c r="A773" s="1"/>
    </row>
    <row r="774">
      <c r="A774" s="1"/>
    </row>
    <row r="775">
      <c r="A775" s="1"/>
    </row>
    <row r="776">
      <c r="A776" s="1"/>
    </row>
    <row r="777">
      <c r="A777" s="1"/>
    </row>
    <row r="778">
      <c r="A778" s="1"/>
    </row>
    <row r="779">
      <c r="A779" s="1"/>
    </row>
    <row r="780">
      <c r="A780" s="1"/>
    </row>
    <row r="781">
      <c r="A781" s="1"/>
    </row>
    <row r="782">
      <c r="A782" s="1"/>
    </row>
    <row r="783">
      <c r="A783" s="1"/>
    </row>
    <row r="784">
      <c r="A784" s="1"/>
    </row>
    <row r="785">
      <c r="A785" s="1"/>
    </row>
    <row r="786">
      <c r="A786" s="1"/>
    </row>
    <row r="787">
      <c r="A787" s="1"/>
    </row>
    <row r="788">
      <c r="A788" s="1"/>
    </row>
    <row r="789">
      <c r="A789" s="1"/>
    </row>
    <row r="790">
      <c r="A790" s="1"/>
    </row>
    <row r="791">
      <c r="A791" s="1"/>
    </row>
    <row r="792">
      <c r="A792" s="1"/>
    </row>
    <row r="793">
      <c r="A793" s="1"/>
    </row>
    <row r="794">
      <c r="A794" s="1"/>
    </row>
    <row r="795">
      <c r="A795" s="1"/>
    </row>
    <row r="796">
      <c r="A796" s="1"/>
    </row>
    <row r="797">
      <c r="A797" s="1"/>
    </row>
    <row r="798">
      <c r="A798" s="1"/>
    </row>
    <row r="799">
      <c r="A799" s="1"/>
    </row>
    <row r="800">
      <c r="A800" s="1"/>
    </row>
    <row r="801">
      <c r="A801" s="1"/>
    </row>
    <row r="802">
      <c r="A802" s="1"/>
    </row>
    <row r="803">
      <c r="A803" s="1"/>
    </row>
    <row r="804">
      <c r="A804" s="1"/>
    </row>
    <row r="805">
      <c r="A805" s="1"/>
    </row>
    <row r="806">
      <c r="A806" s="1"/>
    </row>
    <row r="807">
      <c r="A807" s="1"/>
    </row>
    <row r="808">
      <c r="A808" s="1"/>
    </row>
    <row r="809">
      <c r="A809" s="1"/>
    </row>
    <row r="810">
      <c r="A810" s="1"/>
    </row>
    <row r="811">
      <c r="A811" s="1"/>
    </row>
    <row r="812">
      <c r="A812" s="1"/>
    </row>
    <row r="813">
      <c r="A813" s="1"/>
    </row>
    <row r="814">
      <c r="A814" s="1"/>
    </row>
    <row r="815">
      <c r="A815" s="1"/>
    </row>
    <row r="816">
      <c r="A816" s="1"/>
    </row>
    <row r="817">
      <c r="A817" s="1"/>
    </row>
    <row r="818">
      <c r="A818" s="1"/>
    </row>
    <row r="819">
      <c r="A819" s="1"/>
    </row>
    <row r="820">
      <c r="A820" s="1"/>
    </row>
    <row r="821">
      <c r="A821" s="1"/>
    </row>
    <row r="822">
      <c r="A822" s="1"/>
    </row>
    <row r="823">
      <c r="A823" s="1"/>
    </row>
    <row r="824">
      <c r="A824" s="1"/>
    </row>
    <row r="825">
      <c r="A825" s="1"/>
    </row>
    <row r="826">
      <c r="A826" s="1"/>
    </row>
    <row r="827">
      <c r="A827" s="1"/>
    </row>
    <row r="828">
      <c r="A828" s="1"/>
    </row>
    <row r="829">
      <c r="A829" s="1"/>
    </row>
    <row r="830">
      <c r="A830" s="1"/>
    </row>
    <row r="831">
      <c r="A831" s="1"/>
    </row>
    <row r="832">
      <c r="A832" s="1"/>
    </row>
    <row r="833">
      <c r="A833" s="1"/>
    </row>
    <row r="834">
      <c r="A834" s="1"/>
    </row>
    <row r="835">
      <c r="A835" s="1"/>
    </row>
    <row r="836">
      <c r="A836" s="1"/>
    </row>
    <row r="837">
      <c r="A837" s="1"/>
    </row>
    <row r="838">
      <c r="A838" s="1"/>
    </row>
    <row r="839">
      <c r="A839" s="1"/>
    </row>
    <row r="840">
      <c r="A840" s="1"/>
    </row>
    <row r="841">
      <c r="A841" s="1"/>
    </row>
    <row r="842">
      <c r="A842" s="1"/>
    </row>
    <row r="843">
      <c r="A843" s="1"/>
    </row>
    <row r="844">
      <c r="A844" s="1"/>
    </row>
    <row r="845">
      <c r="A845" s="1"/>
    </row>
    <row r="846">
      <c r="A846" s="1"/>
    </row>
    <row r="847">
      <c r="A847" s="1"/>
    </row>
    <row r="848">
      <c r="A848" s="1"/>
    </row>
    <row r="849">
      <c r="A849" s="1"/>
    </row>
    <row r="850">
      <c r="A850" s="1"/>
    </row>
    <row r="851">
      <c r="A851" s="1"/>
    </row>
    <row r="852">
      <c r="A852" s="1"/>
    </row>
    <row r="853">
      <c r="A853" s="1"/>
    </row>
    <row r="854">
      <c r="A854" s="1"/>
    </row>
    <row r="855">
      <c r="A855" s="1"/>
    </row>
    <row r="856">
      <c r="A856" s="1"/>
    </row>
    <row r="857">
      <c r="A857" s="1"/>
    </row>
    <row r="858">
      <c r="A858" s="1"/>
    </row>
    <row r="859">
      <c r="A859" s="1"/>
    </row>
    <row r="860">
      <c r="A860" s="1"/>
    </row>
    <row r="861">
      <c r="A861" s="1"/>
    </row>
    <row r="862">
      <c r="A862" s="1"/>
    </row>
    <row r="863">
      <c r="A863" s="1"/>
    </row>
    <row r="864">
      <c r="A864" s="1"/>
    </row>
    <row r="865">
      <c r="A865" s="1"/>
    </row>
    <row r="866">
      <c r="A866" s="1"/>
    </row>
    <row r="867">
      <c r="A867" s="1"/>
    </row>
    <row r="868">
      <c r="A868" s="1"/>
    </row>
    <row r="869">
      <c r="A869" s="1"/>
    </row>
    <row r="870">
      <c r="A870" s="1"/>
    </row>
    <row r="871">
      <c r="A871" s="1"/>
    </row>
    <row r="872">
      <c r="A872" s="1"/>
    </row>
    <row r="873">
      <c r="A873" s="1"/>
    </row>
    <row r="874">
      <c r="A874" s="1"/>
    </row>
    <row r="875">
      <c r="A875" s="1"/>
    </row>
    <row r="876">
      <c r="A876" s="1"/>
    </row>
    <row r="877">
      <c r="A877" s="1"/>
    </row>
    <row r="878">
      <c r="A878" s="1"/>
    </row>
    <row r="879">
      <c r="A879" s="1"/>
    </row>
    <row r="880">
      <c r="A880" s="1"/>
    </row>
    <row r="881">
      <c r="A881" s="1"/>
    </row>
    <row r="882">
      <c r="A882" s="1"/>
    </row>
    <row r="883">
      <c r="A883" s="1"/>
    </row>
    <row r="884">
      <c r="A884" s="1"/>
    </row>
    <row r="885">
      <c r="A885" s="1"/>
    </row>
    <row r="886">
      <c r="A886" s="1"/>
    </row>
    <row r="887">
      <c r="A887" s="1"/>
    </row>
    <row r="888">
      <c r="A888" s="1"/>
    </row>
    <row r="889">
      <c r="A889" s="1"/>
    </row>
    <row r="890">
      <c r="A890" s="1"/>
    </row>
    <row r="891">
      <c r="A891" s="1"/>
    </row>
    <row r="892">
      <c r="A892" s="1"/>
    </row>
    <row r="893">
      <c r="A893" s="1"/>
    </row>
    <row r="894">
      <c r="A894" s="1"/>
    </row>
    <row r="895">
      <c r="A895" s="1"/>
    </row>
    <row r="896">
      <c r="A896" s="1"/>
    </row>
    <row r="897">
      <c r="A897" s="1"/>
    </row>
    <row r="898">
      <c r="A898" s="1"/>
    </row>
    <row r="899">
      <c r="A899" s="1"/>
    </row>
    <row r="900">
      <c r="A900" s="1"/>
    </row>
    <row r="901">
      <c r="A901" s="1"/>
    </row>
    <row r="902">
      <c r="A902" s="1"/>
    </row>
    <row r="903">
      <c r="A903" s="1"/>
    </row>
    <row r="904">
      <c r="A904" s="1"/>
    </row>
    <row r="905">
      <c r="A905" s="1"/>
    </row>
    <row r="906">
      <c r="A906" s="1"/>
    </row>
    <row r="907">
      <c r="A907" s="1"/>
    </row>
    <row r="908">
      <c r="A908" s="1"/>
    </row>
    <row r="909">
      <c r="A909" s="1"/>
    </row>
    <row r="910">
      <c r="A910" s="1"/>
    </row>
    <row r="911">
      <c r="A911" s="1"/>
    </row>
    <row r="912">
      <c r="A912" s="1"/>
    </row>
    <row r="913">
      <c r="A913" s="1"/>
    </row>
    <row r="914">
      <c r="A914" s="1"/>
    </row>
    <row r="915">
      <c r="A915" s="1"/>
    </row>
    <row r="916">
      <c r="A916" s="1"/>
    </row>
    <row r="917">
      <c r="A917" s="1"/>
    </row>
    <row r="918">
      <c r="A918" s="1"/>
    </row>
    <row r="919">
      <c r="A919" s="1"/>
    </row>
    <row r="920">
      <c r="A920" s="1"/>
    </row>
    <row r="921">
      <c r="A921" s="1"/>
    </row>
    <row r="922">
      <c r="A922" s="1"/>
    </row>
    <row r="923">
      <c r="A923" s="1"/>
    </row>
    <row r="924">
      <c r="A924" s="1"/>
    </row>
    <row r="925">
      <c r="A925" s="1"/>
    </row>
    <row r="926">
      <c r="A926" s="1"/>
    </row>
    <row r="927">
      <c r="A927" s="1"/>
    </row>
    <row r="928">
      <c r="A928" s="1"/>
    </row>
    <row r="929">
      <c r="A929" s="1"/>
    </row>
    <row r="930">
      <c r="A930" s="1"/>
    </row>
    <row r="931">
      <c r="A931" s="1"/>
    </row>
    <row r="932">
      <c r="A932" s="1"/>
    </row>
    <row r="933">
      <c r="A933" s="1"/>
    </row>
    <row r="934">
      <c r="A934" s="1"/>
    </row>
    <row r="935">
      <c r="A935" s="1"/>
    </row>
    <row r="936">
      <c r="A936" s="1"/>
    </row>
    <row r="937">
      <c r="A937" s="1"/>
    </row>
    <row r="938">
      <c r="A938" s="1"/>
    </row>
    <row r="939">
      <c r="A939" s="1"/>
    </row>
    <row r="940">
      <c r="A940" s="1"/>
    </row>
    <row r="941">
      <c r="A941" s="1"/>
    </row>
    <row r="942">
      <c r="A942" s="1"/>
    </row>
    <row r="943">
      <c r="A943" s="1"/>
    </row>
    <row r="944">
      <c r="A944" s="1"/>
    </row>
    <row r="945">
      <c r="A945" s="1"/>
    </row>
    <row r="946">
      <c r="A946" s="1"/>
    </row>
    <row r="947">
      <c r="A947" s="1"/>
    </row>
    <row r="948">
      <c r="A948" s="1"/>
    </row>
    <row r="949">
      <c r="A949" s="1"/>
    </row>
    <row r="950">
      <c r="A950" s="1"/>
    </row>
    <row r="951">
      <c r="A951" s="1"/>
    </row>
    <row r="952">
      <c r="A952" s="1"/>
    </row>
    <row r="953">
      <c r="A953" s="1"/>
    </row>
    <row r="954">
      <c r="A954" s="1"/>
    </row>
    <row r="955">
      <c r="A955" s="1"/>
    </row>
    <row r="956">
      <c r="A956" s="1"/>
    </row>
    <row r="957">
      <c r="A957" s="1"/>
    </row>
    <row r="958">
      <c r="A958" s="1"/>
    </row>
    <row r="959">
      <c r="A959" s="1"/>
    </row>
    <row r="960">
      <c r="A960" s="1"/>
    </row>
    <row r="961">
      <c r="A961" s="1"/>
    </row>
    <row r="962">
      <c r="A962" s="1"/>
    </row>
    <row r="963">
      <c r="A963" s="1"/>
    </row>
    <row r="964">
      <c r="A964" s="1"/>
    </row>
    <row r="965">
      <c r="A965" s="1"/>
    </row>
    <row r="966">
      <c r="A966" s="1"/>
    </row>
    <row r="967">
      <c r="A967" s="1"/>
    </row>
    <row r="968">
      <c r="A968" s="1"/>
    </row>
    <row r="969">
      <c r="A969" s="1"/>
    </row>
    <row r="970">
      <c r="A970" s="1"/>
    </row>
    <row r="971">
      <c r="A971" s="1"/>
    </row>
    <row r="972">
      <c r="A972" s="1"/>
    </row>
    <row r="973">
      <c r="A973" s="1"/>
    </row>
    <row r="974">
      <c r="A974" s="1"/>
    </row>
    <row r="975">
      <c r="A975" s="1"/>
    </row>
    <row r="976">
      <c r="A976" s="1"/>
    </row>
    <row r="977">
      <c r="A977" s="1"/>
    </row>
    <row r="978">
      <c r="A978" s="1"/>
    </row>
    <row r="979">
      <c r="A979" s="1"/>
    </row>
    <row r="980">
      <c r="A980" s="1"/>
    </row>
    <row r="981">
      <c r="A981" s="1"/>
    </row>
    <row r="982">
      <c r="A982" s="1"/>
    </row>
    <row r="983">
      <c r="A983" s="1"/>
    </row>
    <row r="984">
      <c r="A984" s="1"/>
    </row>
    <row r="985">
      <c r="A985" s="1"/>
    </row>
    <row r="986">
      <c r="A986" s="1"/>
    </row>
    <row r="987">
      <c r="A987" s="1"/>
    </row>
    <row r="988">
      <c r="A988" s="1"/>
    </row>
    <row r="989">
      <c r="A989" s="1"/>
    </row>
    <row r="990">
      <c r="A990" s="1"/>
    </row>
    <row r="991">
      <c r="A991" s="1"/>
    </row>
    <row r="992">
      <c r="A992" s="1"/>
    </row>
    <row r="993">
      <c r="A993" s="1"/>
    </row>
    <row r="994">
      <c r="A994" s="1"/>
    </row>
    <row r="995">
      <c r="A995" s="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1" max="4" width="12.63"/>
    <col customWidth="1" min="7" max="7" width="17.5"/>
  </cols>
  <sheetData>
    <row r="1">
      <c r="A1" s="1"/>
      <c r="B1" s="1"/>
      <c r="C1" s="1"/>
      <c r="D1" s="1"/>
      <c r="E1" s="1"/>
      <c r="F1" s="1"/>
      <c r="G1" s="3" t="s">
        <v>92</v>
      </c>
      <c r="H1" s="3" t="s">
        <v>76</v>
      </c>
      <c r="I1" s="3" t="s">
        <v>64</v>
      </c>
      <c r="J1" s="61" t="s">
        <v>52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>
      <c r="A2" s="3" t="str">
        <f>Colleurs!$C$1</f>
        <v>Mathématiques</v>
      </c>
      <c r="B2" s="3" t="str">
        <f t="shared" ref="B2:B39" si="1">if(A2=E2,G2,"")</f>
        <v>M. Villéger</v>
      </c>
      <c r="C2" s="3" t="str">
        <f>Colleurs!$C$2</f>
        <v>Mme Gil</v>
      </c>
      <c r="D2" s="3" t="str">
        <f t="shared" ref="D2:D39" si="2">if(C2=G2,F2,"")</f>
        <v/>
      </c>
      <c r="E2" s="3" t="s">
        <v>8</v>
      </c>
      <c r="F2" s="4">
        <v>1.0</v>
      </c>
      <c r="G2" s="3" t="s">
        <v>104</v>
      </c>
      <c r="H2" s="4">
        <v>2.0</v>
      </c>
      <c r="I2" s="4">
        <v>15.0</v>
      </c>
      <c r="J2" s="61" t="s">
        <v>105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>
      <c r="A3" s="3" t="str">
        <f>Colleurs!$C$1</f>
        <v>Mathématiques</v>
      </c>
      <c r="B3" s="3" t="str">
        <f t="shared" si="1"/>
        <v>M. Villéger</v>
      </c>
      <c r="C3" s="3" t="str">
        <f>Colleurs!$C$2</f>
        <v>Mme Gil</v>
      </c>
      <c r="D3" s="3" t="str">
        <f t="shared" si="2"/>
        <v/>
      </c>
      <c r="E3" s="3" t="str">
        <f t="shared" ref="E3:E9" si="3">E2</f>
        <v>Mathématiques</v>
      </c>
      <c r="F3" s="4">
        <v>2.0</v>
      </c>
      <c r="G3" s="3" t="s">
        <v>104</v>
      </c>
      <c r="H3" s="4">
        <v>2.0</v>
      </c>
      <c r="I3" s="4">
        <v>16.0</v>
      </c>
      <c r="J3" s="61" t="s">
        <v>105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>
      <c r="A4" s="3" t="str">
        <f>Colleurs!$C$1</f>
        <v>Mathématiques</v>
      </c>
      <c r="B4" s="3" t="str">
        <f t="shared" si="1"/>
        <v>Mme Gil</v>
      </c>
      <c r="C4" s="3" t="str">
        <f>Colleurs!$C$2</f>
        <v>Mme Gil</v>
      </c>
      <c r="D4" s="3">
        <f t="shared" si="2"/>
        <v>3</v>
      </c>
      <c r="E4" s="3" t="str">
        <f t="shared" si="3"/>
        <v>Mathématiques</v>
      </c>
      <c r="F4" s="4">
        <v>3.0</v>
      </c>
      <c r="G4" s="3" t="s">
        <v>15</v>
      </c>
      <c r="H4" s="4">
        <v>2.0</v>
      </c>
      <c r="I4" s="4">
        <v>15.0</v>
      </c>
      <c r="J4" s="61" t="s">
        <v>106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>
      <c r="A5" s="3" t="str">
        <f>Colleurs!$C$1</f>
        <v>Mathématiques</v>
      </c>
      <c r="B5" s="3" t="str">
        <f t="shared" si="1"/>
        <v>M. Franch</v>
      </c>
      <c r="C5" s="3" t="str">
        <f>Colleurs!$C$2</f>
        <v>Mme Gil</v>
      </c>
      <c r="D5" s="3" t="str">
        <f t="shared" si="2"/>
        <v/>
      </c>
      <c r="E5" s="3" t="str">
        <f t="shared" si="3"/>
        <v>Mathématiques</v>
      </c>
      <c r="F5" s="4">
        <v>4.0</v>
      </c>
      <c r="G5" s="3" t="s">
        <v>107</v>
      </c>
      <c r="H5" s="4">
        <v>2.0</v>
      </c>
      <c r="I5" s="4">
        <v>17.0</v>
      </c>
      <c r="J5" s="61" t="s">
        <v>108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>
      <c r="A6" s="3" t="str">
        <f>Colleurs!$C$1</f>
        <v>Mathématiques</v>
      </c>
      <c r="B6" s="3" t="str">
        <f t="shared" si="1"/>
        <v>M. Ghiberti</v>
      </c>
      <c r="C6" s="3" t="str">
        <f>Colleurs!$C$2</f>
        <v>Mme Gil</v>
      </c>
      <c r="D6" s="3" t="str">
        <f t="shared" si="2"/>
        <v/>
      </c>
      <c r="E6" s="3" t="str">
        <f t="shared" si="3"/>
        <v>Mathématiques</v>
      </c>
      <c r="F6" s="4">
        <v>5.0</v>
      </c>
      <c r="G6" s="3" t="s">
        <v>109</v>
      </c>
      <c r="H6" s="4">
        <v>0.0</v>
      </c>
      <c r="I6" s="4">
        <v>17.0</v>
      </c>
      <c r="J6" s="61" t="s">
        <v>110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>
      <c r="A7" s="3" t="str">
        <f>Colleurs!$C$1</f>
        <v>Mathématiques</v>
      </c>
      <c r="B7" s="3" t="str">
        <f t="shared" si="1"/>
        <v>Mme Peyrelevade</v>
      </c>
      <c r="C7" s="3" t="str">
        <f>Colleurs!$C$2</f>
        <v>Mme Gil</v>
      </c>
      <c r="D7" s="3" t="str">
        <f t="shared" si="2"/>
        <v/>
      </c>
      <c r="E7" s="3" t="str">
        <f t="shared" si="3"/>
        <v>Mathématiques</v>
      </c>
      <c r="F7" s="4">
        <v>6.0</v>
      </c>
      <c r="G7" s="3" t="s">
        <v>111</v>
      </c>
      <c r="H7" s="4">
        <v>3.0</v>
      </c>
      <c r="I7" s="4">
        <v>13.0</v>
      </c>
      <c r="J7" s="61" t="s">
        <v>110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>
      <c r="A8" s="3" t="str">
        <f>Colleurs!$C$1</f>
        <v>Mathématiques</v>
      </c>
      <c r="B8" s="3" t="str">
        <f t="shared" si="1"/>
        <v>Mme Royer</v>
      </c>
      <c r="C8" s="3" t="str">
        <f>Colleurs!$C$2</f>
        <v>Mme Gil</v>
      </c>
      <c r="D8" s="3" t="str">
        <f t="shared" si="2"/>
        <v/>
      </c>
      <c r="E8" s="3" t="str">
        <f t="shared" si="3"/>
        <v>Mathématiques</v>
      </c>
      <c r="F8" s="4">
        <v>7.0</v>
      </c>
      <c r="G8" s="3" t="s">
        <v>112</v>
      </c>
      <c r="H8" s="4">
        <v>3.0</v>
      </c>
      <c r="I8" s="4">
        <v>17.0</v>
      </c>
      <c r="J8" s="61" t="s">
        <v>106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>
      <c r="A9" s="3" t="str">
        <f>Colleurs!$C$1</f>
        <v>Mathématiques</v>
      </c>
      <c r="B9" s="3" t="str">
        <f t="shared" si="1"/>
        <v>Mme Royer</v>
      </c>
      <c r="C9" s="3" t="str">
        <f>Colleurs!$C$2</f>
        <v>Mme Gil</v>
      </c>
      <c r="D9" s="3" t="str">
        <f t="shared" si="2"/>
        <v/>
      </c>
      <c r="E9" s="3" t="str">
        <f t="shared" si="3"/>
        <v>Mathématiques</v>
      </c>
      <c r="F9" s="4">
        <v>8.0</v>
      </c>
      <c r="G9" s="3" t="s">
        <v>112</v>
      </c>
      <c r="H9" s="4">
        <v>3.0</v>
      </c>
      <c r="I9" s="4">
        <v>18.0</v>
      </c>
      <c r="J9" s="61" t="s">
        <v>106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>
      <c r="A10" s="3" t="str">
        <f>Colleurs!$C$1</f>
        <v>Mathématiques</v>
      </c>
      <c r="B10" s="3" t="str">
        <f t="shared" si="1"/>
        <v/>
      </c>
      <c r="C10" s="3" t="str">
        <f>Colleurs!$C$2</f>
        <v>Mme Gil</v>
      </c>
      <c r="D10" s="3" t="str">
        <f t="shared" si="2"/>
        <v/>
      </c>
      <c r="E10" s="3" t="s">
        <v>98</v>
      </c>
      <c r="F10" s="4">
        <v>1.0</v>
      </c>
      <c r="G10" s="3" t="s">
        <v>113</v>
      </c>
      <c r="H10" s="4">
        <v>0.0</v>
      </c>
      <c r="I10" s="4">
        <v>16.0</v>
      </c>
      <c r="J10" s="61" t="s">
        <v>114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>
      <c r="A11" s="3" t="str">
        <f>Colleurs!$C$1</f>
        <v>Mathématiques</v>
      </c>
      <c r="B11" s="3" t="str">
        <f t="shared" si="1"/>
        <v/>
      </c>
      <c r="C11" s="3" t="str">
        <f>Colleurs!$C$2</f>
        <v>Mme Gil</v>
      </c>
      <c r="D11" s="3" t="str">
        <f t="shared" si="2"/>
        <v/>
      </c>
      <c r="E11" s="3" t="str">
        <f t="shared" ref="E11:E17" si="4">E10</f>
        <v>Anglais</v>
      </c>
      <c r="F11" s="4">
        <v>2.0</v>
      </c>
      <c r="G11" s="3" t="s">
        <v>113</v>
      </c>
      <c r="H11" s="4">
        <v>2.0</v>
      </c>
      <c r="I11" s="4">
        <v>15.0</v>
      </c>
      <c r="J11" s="61" t="s">
        <v>115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</row>
    <row r="12">
      <c r="A12" s="3" t="str">
        <f>Colleurs!$C$1</f>
        <v>Mathématiques</v>
      </c>
      <c r="B12" s="3" t="str">
        <f t="shared" si="1"/>
        <v/>
      </c>
      <c r="C12" s="3" t="str">
        <f>Colleurs!$C$2</f>
        <v>Mme Gil</v>
      </c>
      <c r="D12" s="3" t="str">
        <f t="shared" si="2"/>
        <v/>
      </c>
      <c r="E12" s="3" t="str">
        <f t="shared" si="4"/>
        <v>Anglais</v>
      </c>
      <c r="F12" s="4">
        <v>3.0</v>
      </c>
      <c r="G12" s="3" t="s">
        <v>116</v>
      </c>
      <c r="H12" s="4">
        <v>2.0</v>
      </c>
      <c r="I12" s="4">
        <v>15.0</v>
      </c>
      <c r="J12" s="61" t="s">
        <v>117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</row>
    <row r="13">
      <c r="A13" s="3" t="str">
        <f>Colleurs!$C$1</f>
        <v>Mathématiques</v>
      </c>
      <c r="B13" s="3" t="str">
        <f t="shared" si="1"/>
        <v/>
      </c>
      <c r="C13" s="3" t="str">
        <f>Colleurs!$C$2</f>
        <v>Mme Gil</v>
      </c>
      <c r="D13" s="3" t="str">
        <f t="shared" si="2"/>
        <v/>
      </c>
      <c r="E13" s="3" t="str">
        <f t="shared" si="4"/>
        <v>Anglais</v>
      </c>
      <c r="F13" s="4">
        <v>4.0</v>
      </c>
      <c r="G13" s="3" t="s">
        <v>116</v>
      </c>
      <c r="H13" s="4">
        <v>2.0</v>
      </c>
      <c r="I13" s="4">
        <v>16.0</v>
      </c>
      <c r="J13" s="61" t="s">
        <v>117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</row>
    <row r="14">
      <c r="A14" s="3" t="str">
        <f>Colleurs!$C$1</f>
        <v>Mathématiques</v>
      </c>
      <c r="B14" s="3" t="str">
        <f t="shared" si="1"/>
        <v/>
      </c>
      <c r="C14" s="3" t="str">
        <f>Colleurs!$C$2</f>
        <v>Mme Gil</v>
      </c>
      <c r="D14" s="3" t="str">
        <f t="shared" si="2"/>
        <v/>
      </c>
      <c r="E14" s="3" t="str">
        <f t="shared" si="4"/>
        <v>Anglais</v>
      </c>
      <c r="F14" s="4">
        <v>5.0</v>
      </c>
      <c r="G14" s="3" t="s">
        <v>118</v>
      </c>
      <c r="H14" s="4">
        <v>3.0</v>
      </c>
      <c r="I14" s="4">
        <v>16.0</v>
      </c>
      <c r="J14" s="61" t="s">
        <v>119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>
      <c r="A15" s="3" t="str">
        <f>Colleurs!$C$1</f>
        <v>Mathématiques</v>
      </c>
      <c r="B15" s="3" t="str">
        <f t="shared" si="1"/>
        <v/>
      </c>
      <c r="C15" s="3" t="str">
        <f>Colleurs!$C$2</f>
        <v>Mme Gil</v>
      </c>
      <c r="D15" s="3" t="str">
        <f t="shared" si="2"/>
        <v/>
      </c>
      <c r="E15" s="3" t="str">
        <f t="shared" si="4"/>
        <v>Anglais</v>
      </c>
      <c r="F15" s="4">
        <v>6.0</v>
      </c>
      <c r="G15" s="3" t="s">
        <v>118</v>
      </c>
      <c r="H15" s="4">
        <v>3.0</v>
      </c>
      <c r="I15" s="4">
        <v>17.0</v>
      </c>
      <c r="J15" s="61" t="s">
        <v>119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>
      <c r="A16" s="3" t="str">
        <f>Colleurs!$C$1</f>
        <v>Mathématiques</v>
      </c>
      <c r="B16" s="3" t="str">
        <f t="shared" si="1"/>
        <v/>
      </c>
      <c r="C16" s="3" t="str">
        <f>Colleurs!$C$2</f>
        <v>Mme Gil</v>
      </c>
      <c r="D16" s="3" t="str">
        <f t="shared" si="2"/>
        <v/>
      </c>
      <c r="E16" s="3" t="str">
        <f t="shared" si="4"/>
        <v>Anglais</v>
      </c>
      <c r="F16" s="4">
        <v>7.0</v>
      </c>
      <c r="G16" s="3" t="s">
        <v>120</v>
      </c>
      <c r="H16" s="4">
        <v>4.0</v>
      </c>
      <c r="I16" s="4">
        <v>16.0</v>
      </c>
      <c r="J16" s="61" t="s">
        <v>121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>
      <c r="A17" s="3" t="str">
        <f>Colleurs!$C$1</f>
        <v>Mathématiques</v>
      </c>
      <c r="B17" s="3" t="str">
        <f t="shared" si="1"/>
        <v/>
      </c>
      <c r="C17" s="3" t="str">
        <f>Colleurs!$C$2</f>
        <v>Mme Gil</v>
      </c>
      <c r="D17" s="3" t="str">
        <f t="shared" si="2"/>
        <v/>
      </c>
      <c r="E17" s="3" t="str">
        <f t="shared" si="4"/>
        <v>Anglais</v>
      </c>
      <c r="F17" s="4">
        <v>8.0</v>
      </c>
      <c r="G17" s="3" t="s">
        <v>120</v>
      </c>
      <c r="H17" s="4">
        <v>4.0</v>
      </c>
      <c r="I17" s="4">
        <v>17.0</v>
      </c>
      <c r="J17" s="61" t="s">
        <v>121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>
      <c r="A18" s="3" t="str">
        <f>Colleurs!$C$1</f>
        <v>Mathématiques</v>
      </c>
      <c r="B18" s="3" t="str">
        <f t="shared" si="1"/>
        <v/>
      </c>
      <c r="C18" s="3" t="str">
        <f>Colleurs!$C$2</f>
        <v>Mme Gil</v>
      </c>
      <c r="D18" s="3" t="str">
        <f t="shared" si="2"/>
        <v/>
      </c>
      <c r="E18" s="3" t="s">
        <v>99</v>
      </c>
      <c r="F18" s="4">
        <v>1.0</v>
      </c>
      <c r="G18" s="3" t="s">
        <v>122</v>
      </c>
      <c r="H18" s="4">
        <v>3.0</v>
      </c>
      <c r="I18" s="4">
        <v>14.0</v>
      </c>
      <c r="J18" s="5" t="s">
        <v>108</v>
      </c>
    </row>
    <row r="19">
      <c r="A19" s="3" t="str">
        <f>Colleurs!$C$1</f>
        <v>Mathématiques</v>
      </c>
      <c r="B19" s="3" t="str">
        <f t="shared" si="1"/>
        <v/>
      </c>
      <c r="C19" s="3" t="str">
        <f>Colleurs!$C$2</f>
        <v>Mme Gil</v>
      </c>
      <c r="D19" s="3" t="str">
        <f t="shared" si="2"/>
        <v/>
      </c>
      <c r="E19" s="3" t="str">
        <f t="shared" ref="E19:E25" si="5">E18</f>
        <v>Physique</v>
      </c>
      <c r="F19" s="4">
        <v>2.0</v>
      </c>
      <c r="G19" s="3" t="s">
        <v>122</v>
      </c>
      <c r="H19" s="4">
        <v>3.0</v>
      </c>
      <c r="I19" s="4">
        <v>15.0</v>
      </c>
      <c r="J19" s="5" t="s">
        <v>108</v>
      </c>
    </row>
    <row r="20">
      <c r="A20" s="3" t="str">
        <f>Colleurs!$C$1</f>
        <v>Mathématiques</v>
      </c>
      <c r="B20" s="3" t="str">
        <f t="shared" si="1"/>
        <v/>
      </c>
      <c r="C20" s="3" t="str">
        <f>Colleurs!$C$2</f>
        <v>Mme Gil</v>
      </c>
      <c r="D20" s="3" t="str">
        <f t="shared" si="2"/>
        <v/>
      </c>
      <c r="E20" s="3" t="str">
        <f t="shared" si="5"/>
        <v>Physique</v>
      </c>
      <c r="F20" s="4">
        <v>3.0</v>
      </c>
      <c r="G20" s="3" t="s">
        <v>123</v>
      </c>
      <c r="H20" s="4">
        <v>0.0</v>
      </c>
      <c r="I20" s="4">
        <v>17.0</v>
      </c>
      <c r="J20" s="5" t="s">
        <v>124</v>
      </c>
    </row>
    <row r="21">
      <c r="A21" s="3" t="str">
        <f>Colleurs!$C$1</f>
        <v>Mathématiques</v>
      </c>
      <c r="B21" s="3" t="str">
        <f t="shared" si="1"/>
        <v/>
      </c>
      <c r="C21" s="3" t="str">
        <f>Colleurs!$C$2</f>
        <v>Mme Gil</v>
      </c>
      <c r="D21" s="3" t="str">
        <f t="shared" si="2"/>
        <v/>
      </c>
      <c r="E21" s="3" t="str">
        <f t="shared" si="5"/>
        <v>Physique</v>
      </c>
      <c r="F21" s="4">
        <v>4.0</v>
      </c>
      <c r="G21" s="3" t="s">
        <v>123</v>
      </c>
      <c r="H21" s="4">
        <v>3.0</v>
      </c>
      <c r="I21" s="4">
        <v>12.0</v>
      </c>
      <c r="J21" s="5" t="s">
        <v>106</v>
      </c>
    </row>
    <row r="22">
      <c r="A22" s="3" t="str">
        <f>Colleurs!$C$1</f>
        <v>Mathématiques</v>
      </c>
      <c r="B22" s="3" t="str">
        <f t="shared" si="1"/>
        <v/>
      </c>
      <c r="C22" s="3" t="str">
        <f>Colleurs!$C$2</f>
        <v>Mme Gil</v>
      </c>
      <c r="D22" s="3" t="str">
        <f t="shared" si="2"/>
        <v/>
      </c>
      <c r="E22" s="3" t="str">
        <f t="shared" si="5"/>
        <v>Physique</v>
      </c>
      <c r="F22" s="4">
        <v>5.0</v>
      </c>
      <c r="G22" s="3" t="s">
        <v>125</v>
      </c>
      <c r="H22" s="4">
        <v>3.0</v>
      </c>
      <c r="I22" s="4">
        <v>16.0</v>
      </c>
      <c r="J22" s="5" t="s">
        <v>108</v>
      </c>
    </row>
    <row r="23">
      <c r="A23" s="3" t="str">
        <f>Colleurs!$C$1</f>
        <v>Mathématiques</v>
      </c>
      <c r="B23" s="3" t="str">
        <f t="shared" si="1"/>
        <v/>
      </c>
      <c r="C23" s="3" t="str">
        <f>Colleurs!$C$2</f>
        <v>Mme Gil</v>
      </c>
      <c r="D23" s="3" t="str">
        <f t="shared" si="2"/>
        <v/>
      </c>
      <c r="E23" s="3" t="str">
        <f t="shared" si="5"/>
        <v>Physique</v>
      </c>
      <c r="F23" s="4">
        <v>6.0</v>
      </c>
      <c r="G23" s="3" t="s">
        <v>126</v>
      </c>
      <c r="H23" s="4">
        <v>3.0</v>
      </c>
      <c r="I23" s="4">
        <v>15.0</v>
      </c>
      <c r="J23" s="5" t="s">
        <v>110</v>
      </c>
    </row>
    <row r="24">
      <c r="A24" s="3" t="str">
        <f>Colleurs!$C$1</f>
        <v>Mathématiques</v>
      </c>
      <c r="B24" s="3" t="str">
        <f t="shared" si="1"/>
        <v/>
      </c>
      <c r="C24" s="3" t="str">
        <f>Colleurs!$C$2</f>
        <v>Mme Gil</v>
      </c>
      <c r="D24" s="3" t="str">
        <f t="shared" si="2"/>
        <v/>
      </c>
      <c r="E24" s="3" t="str">
        <f t="shared" si="5"/>
        <v>Physique</v>
      </c>
      <c r="F24" s="4">
        <v>7.0</v>
      </c>
      <c r="G24" s="3" t="s">
        <v>126</v>
      </c>
      <c r="H24" s="4">
        <v>3.0</v>
      </c>
      <c r="I24" s="4">
        <v>16.0</v>
      </c>
      <c r="J24" s="5" t="s">
        <v>110</v>
      </c>
    </row>
    <row r="25">
      <c r="A25" s="3" t="str">
        <f>Colleurs!$C$1</f>
        <v>Mathématiques</v>
      </c>
      <c r="B25" s="3" t="str">
        <f t="shared" si="1"/>
        <v/>
      </c>
      <c r="C25" s="3" t="str">
        <f>Colleurs!$C$2</f>
        <v>Mme Gil</v>
      </c>
      <c r="D25" s="3" t="str">
        <f t="shared" si="2"/>
        <v/>
      </c>
      <c r="E25" s="3" t="str">
        <f t="shared" si="5"/>
        <v>Physique</v>
      </c>
      <c r="F25" s="4">
        <v>8.0</v>
      </c>
      <c r="G25" s="3" t="s">
        <v>128</v>
      </c>
      <c r="H25" s="4">
        <v>2.0</v>
      </c>
      <c r="I25" s="4">
        <v>16.0</v>
      </c>
      <c r="J25" s="5" t="s">
        <v>115</v>
      </c>
    </row>
    <row r="26">
      <c r="A26" s="3" t="str">
        <f>Colleurs!$C$1</f>
        <v>Mathématiques</v>
      </c>
      <c r="B26" s="3" t="str">
        <f t="shared" si="1"/>
        <v/>
      </c>
      <c r="C26" s="3" t="str">
        <f>Colleurs!$C$2</f>
        <v>Mme Gil</v>
      </c>
      <c r="D26" s="3" t="str">
        <f t="shared" si="2"/>
        <v/>
      </c>
      <c r="E26" s="3" t="s">
        <v>100</v>
      </c>
      <c r="F26" s="4">
        <v>1.0</v>
      </c>
      <c r="G26" s="3" t="s">
        <v>129</v>
      </c>
      <c r="H26" s="4">
        <v>1.0</v>
      </c>
      <c r="I26" s="4">
        <v>17.0</v>
      </c>
      <c r="J26" s="5" t="s">
        <v>106</v>
      </c>
    </row>
    <row r="27">
      <c r="A27" s="3" t="str">
        <f>Colleurs!$C$1</f>
        <v>Mathématiques</v>
      </c>
      <c r="B27" s="3" t="str">
        <f t="shared" si="1"/>
        <v/>
      </c>
      <c r="C27" s="3" t="str">
        <f>Colleurs!$C$2</f>
        <v>Mme Gil</v>
      </c>
      <c r="D27" s="3" t="str">
        <f t="shared" si="2"/>
        <v/>
      </c>
      <c r="E27" s="3" t="str">
        <f t="shared" ref="E27:E33" si="6">E26</f>
        <v>Chimie</v>
      </c>
      <c r="F27" s="4">
        <v>2.0</v>
      </c>
      <c r="G27" s="3" t="s">
        <v>129</v>
      </c>
      <c r="H27" s="4">
        <v>1.0</v>
      </c>
      <c r="I27" s="4">
        <v>18.0</v>
      </c>
      <c r="J27" s="5" t="s">
        <v>106</v>
      </c>
    </row>
    <row r="28">
      <c r="A28" s="3" t="str">
        <f>Colleurs!$C$1</f>
        <v>Mathématiques</v>
      </c>
      <c r="B28" s="3" t="str">
        <f t="shared" si="1"/>
        <v/>
      </c>
      <c r="C28" s="3" t="str">
        <f>Colleurs!$C$2</f>
        <v>Mme Gil</v>
      </c>
      <c r="D28" s="3" t="str">
        <f t="shared" si="2"/>
        <v/>
      </c>
      <c r="E28" s="3" t="str">
        <f t="shared" si="6"/>
        <v>Chimie</v>
      </c>
      <c r="F28" s="4">
        <v>3.0</v>
      </c>
      <c r="G28" s="3" t="s">
        <v>130</v>
      </c>
      <c r="H28" s="4">
        <v>3.0</v>
      </c>
      <c r="I28" s="4">
        <v>14.0</v>
      </c>
      <c r="J28" s="5" t="s">
        <v>110</v>
      </c>
    </row>
    <row r="29">
      <c r="A29" s="3" t="str">
        <f>Colleurs!$C$1</f>
        <v>Mathématiques</v>
      </c>
      <c r="B29" s="3" t="str">
        <f t="shared" si="1"/>
        <v/>
      </c>
      <c r="C29" s="3" t="str">
        <f>Colleurs!$C$2</f>
        <v>Mme Gil</v>
      </c>
      <c r="D29" s="3" t="str">
        <f t="shared" si="2"/>
        <v/>
      </c>
      <c r="E29" s="3" t="str">
        <f t="shared" si="6"/>
        <v>Chimie</v>
      </c>
      <c r="F29" s="4">
        <v>4.0</v>
      </c>
      <c r="G29" s="3" t="s">
        <v>131</v>
      </c>
      <c r="H29" s="4">
        <v>4.0</v>
      </c>
      <c r="I29" s="4">
        <v>16.0</v>
      </c>
      <c r="J29" s="5" t="s">
        <v>117</v>
      </c>
    </row>
    <row r="30">
      <c r="A30" s="3" t="str">
        <f>Colleurs!$C$1</f>
        <v>Mathématiques</v>
      </c>
      <c r="B30" s="3" t="str">
        <f t="shared" si="1"/>
        <v/>
      </c>
      <c r="C30" s="3" t="str">
        <f>Colleurs!$C$2</f>
        <v>Mme Gil</v>
      </c>
      <c r="D30" s="3" t="str">
        <f t="shared" si="2"/>
        <v/>
      </c>
      <c r="E30" s="3" t="str">
        <f t="shared" si="6"/>
        <v>Chimie</v>
      </c>
      <c r="F30" s="4">
        <v>5.0</v>
      </c>
      <c r="G30" s="3" t="s">
        <v>131</v>
      </c>
      <c r="H30" s="4">
        <v>4.0</v>
      </c>
      <c r="I30" s="4">
        <v>18.0</v>
      </c>
      <c r="J30" s="5" t="s">
        <v>117</v>
      </c>
    </row>
    <row r="31">
      <c r="A31" s="3" t="str">
        <f>Colleurs!$C$1</f>
        <v>Mathématiques</v>
      </c>
      <c r="B31" s="3" t="str">
        <f t="shared" si="1"/>
        <v/>
      </c>
      <c r="C31" s="3" t="str">
        <f>Colleurs!$C$2</f>
        <v>Mme Gil</v>
      </c>
      <c r="D31" s="3" t="str">
        <f t="shared" si="2"/>
        <v/>
      </c>
      <c r="E31" s="3" t="str">
        <f t="shared" si="6"/>
        <v>Chimie</v>
      </c>
      <c r="F31" s="4">
        <v>6.0</v>
      </c>
      <c r="G31" s="3" t="s">
        <v>132</v>
      </c>
      <c r="H31" s="4">
        <v>4.0</v>
      </c>
      <c r="I31" s="4">
        <v>16.0</v>
      </c>
      <c r="J31" s="5" t="s">
        <v>133</v>
      </c>
    </row>
    <row r="32">
      <c r="A32" s="3" t="str">
        <f>Colleurs!$C$1</f>
        <v>Mathématiques</v>
      </c>
      <c r="B32" s="3" t="str">
        <f t="shared" si="1"/>
        <v/>
      </c>
      <c r="C32" s="3" t="str">
        <f>Colleurs!$C$2</f>
        <v>Mme Gil</v>
      </c>
      <c r="D32" s="3" t="str">
        <f t="shared" si="2"/>
        <v/>
      </c>
      <c r="E32" s="3" t="str">
        <f t="shared" si="6"/>
        <v>Chimie</v>
      </c>
      <c r="F32" s="4">
        <v>7.0</v>
      </c>
      <c r="G32" s="3" t="s">
        <v>134</v>
      </c>
      <c r="H32" s="4">
        <v>4.0</v>
      </c>
      <c r="I32" s="4">
        <v>16.0</v>
      </c>
      <c r="J32" s="5" t="s">
        <v>115</v>
      </c>
    </row>
    <row r="33">
      <c r="A33" s="3" t="str">
        <f>Colleurs!$C$1</f>
        <v>Mathématiques</v>
      </c>
      <c r="B33" s="3" t="str">
        <f t="shared" si="1"/>
        <v/>
      </c>
      <c r="C33" s="3" t="str">
        <f>Colleurs!$C$2</f>
        <v>Mme Gil</v>
      </c>
      <c r="D33" s="3" t="str">
        <f t="shared" si="2"/>
        <v/>
      </c>
      <c r="E33" s="3" t="str">
        <f t="shared" si="6"/>
        <v>Chimie</v>
      </c>
      <c r="F33" s="4">
        <v>8.0</v>
      </c>
      <c r="G33" s="3" t="s">
        <v>135</v>
      </c>
      <c r="H33" s="4">
        <v>2.0</v>
      </c>
      <c r="I33" s="4">
        <v>18.0</v>
      </c>
      <c r="J33" s="5" t="s">
        <v>136</v>
      </c>
    </row>
    <row r="34">
      <c r="A34" s="3" t="str">
        <f>Colleurs!$C$1</f>
        <v>Mathématiques</v>
      </c>
      <c r="B34" s="3" t="str">
        <f t="shared" si="1"/>
        <v/>
      </c>
      <c r="C34" s="3" t="str">
        <f>Colleurs!$C$2</f>
        <v>Mme Gil</v>
      </c>
      <c r="D34" s="3" t="str">
        <f t="shared" si="2"/>
        <v/>
      </c>
      <c r="E34" s="3" t="s">
        <v>81</v>
      </c>
      <c r="F34" s="4">
        <v>1.0</v>
      </c>
      <c r="G34" s="3" t="s">
        <v>137</v>
      </c>
      <c r="H34" s="4">
        <v>0.0</v>
      </c>
      <c r="I34" s="4">
        <v>16.0</v>
      </c>
      <c r="J34" s="5" t="s">
        <v>138</v>
      </c>
    </row>
    <row r="35">
      <c r="A35" s="3" t="str">
        <f>Colleurs!$C$1</f>
        <v>Mathématiques</v>
      </c>
      <c r="B35" s="3" t="str">
        <f t="shared" si="1"/>
        <v/>
      </c>
      <c r="C35" s="3" t="str">
        <f>Colleurs!$C$2</f>
        <v>Mme Gil</v>
      </c>
      <c r="D35" s="3" t="str">
        <f t="shared" si="2"/>
        <v/>
      </c>
      <c r="E35" s="3" t="str">
        <f t="shared" ref="E35:E37" si="7">E34</f>
        <v>SI</v>
      </c>
      <c r="F35" s="4">
        <v>2.0</v>
      </c>
      <c r="G35" s="3" t="s">
        <v>137</v>
      </c>
      <c r="H35" s="4">
        <v>0.0</v>
      </c>
      <c r="I35" s="4">
        <v>17.0</v>
      </c>
      <c r="J35" s="5" t="s">
        <v>138</v>
      </c>
    </row>
    <row r="36">
      <c r="A36" s="3" t="str">
        <f>Colleurs!$C$1</f>
        <v>Mathématiques</v>
      </c>
      <c r="B36" s="3" t="str">
        <f t="shared" si="1"/>
        <v/>
      </c>
      <c r="C36" s="3" t="str">
        <f>Colleurs!$C$2</f>
        <v>Mme Gil</v>
      </c>
      <c r="D36" s="3" t="str">
        <f t="shared" si="2"/>
        <v/>
      </c>
      <c r="E36" s="3" t="str">
        <f t="shared" si="7"/>
        <v>SI</v>
      </c>
      <c r="F36" s="4">
        <v>3.0</v>
      </c>
      <c r="G36" s="3" t="s">
        <v>139</v>
      </c>
      <c r="H36" s="4">
        <v>0.0</v>
      </c>
      <c r="I36" s="4">
        <v>17.0</v>
      </c>
      <c r="J36" s="5" t="s">
        <v>140</v>
      </c>
    </row>
    <row r="37">
      <c r="A37" s="3" t="str">
        <f>Colleurs!$C$1</f>
        <v>Mathématiques</v>
      </c>
      <c r="B37" s="3" t="str">
        <f t="shared" si="1"/>
        <v/>
      </c>
      <c r="C37" s="3" t="str">
        <f>Colleurs!$C$2</f>
        <v>Mme Gil</v>
      </c>
      <c r="D37" s="3" t="str">
        <f t="shared" si="2"/>
        <v/>
      </c>
      <c r="E37" s="3" t="str">
        <f t="shared" si="7"/>
        <v>SI</v>
      </c>
      <c r="F37" s="4">
        <v>4.0</v>
      </c>
      <c r="G37" s="3" t="s">
        <v>141</v>
      </c>
      <c r="H37" s="4">
        <v>0.0</v>
      </c>
      <c r="I37" s="4">
        <v>16.0</v>
      </c>
      <c r="J37" s="5" t="s">
        <v>106</v>
      </c>
    </row>
    <row r="38">
      <c r="A38" s="3" t="str">
        <f>Colleurs!$C$1</f>
        <v>Mathématiques</v>
      </c>
      <c r="B38" s="3" t="str">
        <f t="shared" si="1"/>
        <v/>
      </c>
      <c r="C38" s="3" t="str">
        <f>Colleurs!$C$2</f>
        <v>Mme Gil</v>
      </c>
      <c r="D38" s="3" t="str">
        <f t="shared" si="2"/>
        <v/>
      </c>
      <c r="E38" s="3" t="s">
        <v>101</v>
      </c>
      <c r="F38" s="4">
        <v>1.0</v>
      </c>
      <c r="G38" s="3" t="s">
        <v>142</v>
      </c>
      <c r="H38" s="4">
        <v>4.0</v>
      </c>
      <c r="I38" s="4">
        <v>16.0</v>
      </c>
      <c r="J38" s="5" t="s">
        <v>108</v>
      </c>
    </row>
    <row r="39">
      <c r="A39" s="3" t="str">
        <f>Colleurs!$C$1</f>
        <v>Mathématiques</v>
      </c>
      <c r="B39" s="3" t="str">
        <f t="shared" si="1"/>
        <v/>
      </c>
      <c r="C39" s="3" t="str">
        <f>Colleurs!$C$2</f>
        <v>Mme Gil</v>
      </c>
      <c r="D39" s="3" t="str">
        <f t="shared" si="2"/>
        <v/>
      </c>
      <c r="E39" s="3" t="str">
        <f>E38</f>
        <v>Français</v>
      </c>
      <c r="F39" s="4">
        <v>2.0</v>
      </c>
      <c r="G39" s="3" t="s">
        <v>142</v>
      </c>
      <c r="H39" s="4">
        <v>4.0</v>
      </c>
      <c r="I39" s="4">
        <v>17.0</v>
      </c>
      <c r="J39" s="5" t="s">
        <v>108</v>
      </c>
    </row>
    <row r="40">
      <c r="A40" s="1"/>
      <c r="B40" s="1"/>
      <c r="C40" s="1"/>
      <c r="D40" s="1"/>
      <c r="E40" s="1"/>
    </row>
    <row r="41">
      <c r="A41" s="1"/>
      <c r="B41" s="1"/>
      <c r="C41" s="1"/>
      <c r="D41" s="1"/>
      <c r="E41" s="1"/>
    </row>
    <row r="42">
      <c r="A42" s="1"/>
      <c r="B42" s="1"/>
      <c r="C42" s="1"/>
      <c r="D42" s="1"/>
      <c r="E42" s="1"/>
    </row>
    <row r="43">
      <c r="A43" s="1"/>
      <c r="B43" s="1"/>
      <c r="C43" s="1"/>
      <c r="D43" s="1"/>
      <c r="E43" s="1"/>
    </row>
    <row r="44">
      <c r="A44" s="1"/>
      <c r="B44" s="1"/>
      <c r="C44" s="1"/>
      <c r="D44" s="1"/>
      <c r="E44" s="1"/>
    </row>
    <row r="45">
      <c r="A45" s="1"/>
      <c r="B45" s="1"/>
      <c r="C45" s="1"/>
      <c r="D45" s="1"/>
      <c r="E45" s="1"/>
    </row>
    <row r="46">
      <c r="A46" s="1"/>
      <c r="B46" s="1"/>
      <c r="C46" s="1"/>
      <c r="D46" s="1"/>
      <c r="E46" s="1"/>
    </row>
    <row r="47">
      <c r="A47" s="1"/>
      <c r="B47" s="1"/>
      <c r="C47" s="1"/>
      <c r="D47" s="1"/>
      <c r="E47" s="1"/>
    </row>
    <row r="48">
      <c r="A48" s="1"/>
      <c r="B48" s="1"/>
      <c r="C48" s="1"/>
      <c r="D48" s="1"/>
      <c r="E48" s="1"/>
    </row>
    <row r="49">
      <c r="A49" s="1"/>
      <c r="B49" s="1"/>
      <c r="C49" s="1"/>
      <c r="D49" s="1"/>
      <c r="E49" s="1"/>
    </row>
    <row r="50">
      <c r="A50" s="1"/>
      <c r="B50" s="1"/>
      <c r="C50" s="1"/>
      <c r="D50" s="1"/>
      <c r="E50" s="1"/>
    </row>
    <row r="51">
      <c r="A51" s="1"/>
      <c r="B51" s="1"/>
      <c r="C51" s="1"/>
      <c r="D51" s="1"/>
      <c r="E51" s="1"/>
    </row>
    <row r="52">
      <c r="A52" s="1"/>
      <c r="B52" s="1"/>
      <c r="C52" s="1"/>
      <c r="D52" s="1"/>
      <c r="E52" s="1"/>
    </row>
    <row r="53">
      <c r="A53" s="1"/>
      <c r="B53" s="1"/>
      <c r="C53" s="1"/>
      <c r="D53" s="1"/>
      <c r="E53" s="1"/>
    </row>
    <row r="54">
      <c r="A54" s="1"/>
      <c r="B54" s="1"/>
      <c r="C54" s="1"/>
      <c r="D54" s="1"/>
      <c r="E54" s="1"/>
    </row>
    <row r="55">
      <c r="A55" s="1"/>
      <c r="B55" s="1"/>
      <c r="C55" s="1"/>
      <c r="D55" s="1"/>
      <c r="E55" s="1"/>
    </row>
    <row r="56">
      <c r="A56" s="1"/>
      <c r="B56" s="1"/>
      <c r="C56" s="1"/>
      <c r="D56" s="1"/>
      <c r="E56" s="1"/>
    </row>
    <row r="57">
      <c r="A57" s="1"/>
      <c r="B57" s="1"/>
      <c r="C57" s="1"/>
      <c r="D57" s="1"/>
      <c r="E57" s="1"/>
    </row>
    <row r="58">
      <c r="A58" s="1"/>
      <c r="B58" s="1"/>
      <c r="C58" s="1"/>
      <c r="D58" s="1"/>
      <c r="E58" s="1"/>
    </row>
    <row r="59">
      <c r="A59" s="1"/>
      <c r="B59" s="1"/>
      <c r="C59" s="1"/>
      <c r="D59" s="1"/>
      <c r="E59" s="1"/>
    </row>
    <row r="60">
      <c r="A60" s="1"/>
      <c r="B60" s="1"/>
      <c r="C60" s="1"/>
      <c r="D60" s="1"/>
      <c r="E60" s="1"/>
    </row>
    <row r="61">
      <c r="A61" s="1"/>
      <c r="B61" s="1"/>
      <c r="C61" s="1"/>
      <c r="D61" s="1"/>
      <c r="E61" s="1"/>
    </row>
    <row r="62">
      <c r="A62" s="1"/>
      <c r="B62" s="1"/>
      <c r="C62" s="1"/>
      <c r="D62" s="1"/>
      <c r="E62" s="1"/>
    </row>
    <row r="63">
      <c r="A63" s="1"/>
      <c r="B63" s="1"/>
      <c r="C63" s="1"/>
      <c r="D63" s="1"/>
      <c r="E63" s="1"/>
    </row>
    <row r="64">
      <c r="A64" s="1"/>
      <c r="B64" s="1"/>
      <c r="C64" s="1"/>
      <c r="D64" s="1"/>
      <c r="E64" s="1"/>
    </row>
    <row r="65">
      <c r="A65" s="1"/>
      <c r="B65" s="1"/>
      <c r="C65" s="1"/>
      <c r="D65" s="1"/>
      <c r="E65" s="1"/>
    </row>
    <row r="66">
      <c r="A66" s="1"/>
      <c r="B66" s="1"/>
      <c r="C66" s="1"/>
      <c r="D66" s="1"/>
      <c r="E66" s="1"/>
    </row>
    <row r="67">
      <c r="A67" s="1"/>
      <c r="B67" s="1"/>
      <c r="C67" s="1"/>
      <c r="D67" s="1"/>
      <c r="E67" s="1"/>
    </row>
    <row r="68">
      <c r="A68" s="1"/>
      <c r="B68" s="1"/>
      <c r="C68" s="1"/>
      <c r="D68" s="1"/>
      <c r="E68" s="1"/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"/>
      <c r="B572" s="1"/>
      <c r="C572" s="1"/>
      <c r="D572" s="1"/>
      <c r="E572" s="1"/>
    </row>
    <row r="573">
      <c r="A573" s="1"/>
      <c r="B573" s="1"/>
      <c r="C573" s="1"/>
      <c r="D573" s="1"/>
      <c r="E573" s="1"/>
    </row>
    <row r="574">
      <c r="A574" s="1"/>
      <c r="B574" s="1"/>
      <c r="C574" s="1"/>
      <c r="D574" s="1"/>
      <c r="E574" s="1"/>
    </row>
    <row r="575">
      <c r="A575" s="1"/>
      <c r="B575" s="1"/>
      <c r="C575" s="1"/>
      <c r="D575" s="1"/>
      <c r="E575" s="1"/>
    </row>
    <row r="576">
      <c r="A576" s="1"/>
      <c r="B576" s="1"/>
      <c r="C576" s="1"/>
      <c r="D576" s="1"/>
      <c r="E576" s="1"/>
    </row>
    <row r="577">
      <c r="A577" s="1"/>
      <c r="B577" s="1"/>
      <c r="C577" s="1"/>
      <c r="D577" s="1"/>
      <c r="E577" s="1"/>
    </row>
    <row r="578">
      <c r="A578" s="1"/>
      <c r="B578" s="1"/>
      <c r="C578" s="1"/>
      <c r="D578" s="1"/>
      <c r="E578" s="1"/>
    </row>
    <row r="579">
      <c r="A579" s="1"/>
      <c r="B579" s="1"/>
      <c r="C579" s="1"/>
      <c r="D579" s="1"/>
      <c r="E579" s="1"/>
    </row>
    <row r="580">
      <c r="A580" s="1"/>
      <c r="B580" s="1"/>
      <c r="C580" s="1"/>
      <c r="D580" s="1"/>
      <c r="E580" s="1"/>
    </row>
    <row r="581">
      <c r="A581" s="1"/>
      <c r="B581" s="1"/>
      <c r="C581" s="1"/>
      <c r="D581" s="1"/>
      <c r="E581" s="1"/>
    </row>
    <row r="582">
      <c r="A582" s="1"/>
      <c r="B582" s="1"/>
      <c r="C582" s="1"/>
      <c r="D582" s="1"/>
      <c r="E582" s="1"/>
    </row>
    <row r="583">
      <c r="A583" s="1"/>
      <c r="B583" s="1"/>
      <c r="C583" s="1"/>
      <c r="D583" s="1"/>
      <c r="E583" s="1"/>
    </row>
    <row r="584">
      <c r="A584" s="1"/>
      <c r="B584" s="1"/>
      <c r="C584" s="1"/>
      <c r="D584" s="1"/>
      <c r="E584" s="1"/>
    </row>
    <row r="585">
      <c r="A585" s="1"/>
      <c r="B585" s="1"/>
      <c r="C585" s="1"/>
      <c r="D585" s="1"/>
      <c r="E585" s="1"/>
    </row>
    <row r="586">
      <c r="A586" s="1"/>
      <c r="B586" s="1"/>
      <c r="C586" s="1"/>
      <c r="D586" s="1"/>
      <c r="E586" s="1"/>
    </row>
    <row r="587">
      <c r="A587" s="1"/>
      <c r="B587" s="1"/>
      <c r="C587" s="1"/>
      <c r="D587" s="1"/>
      <c r="E587" s="1"/>
    </row>
    <row r="588">
      <c r="A588" s="1"/>
      <c r="B588" s="1"/>
      <c r="C588" s="1"/>
      <c r="D588" s="1"/>
      <c r="E588" s="1"/>
    </row>
    <row r="589">
      <c r="A589" s="1"/>
      <c r="B589" s="1"/>
      <c r="C589" s="1"/>
      <c r="D589" s="1"/>
      <c r="E589" s="1"/>
    </row>
    <row r="590">
      <c r="A590" s="1"/>
      <c r="B590" s="1"/>
      <c r="C590" s="1"/>
      <c r="D590" s="1"/>
      <c r="E590" s="1"/>
    </row>
    <row r="591">
      <c r="A591" s="1"/>
      <c r="B591" s="1"/>
      <c r="C591" s="1"/>
      <c r="D591" s="1"/>
      <c r="E591" s="1"/>
    </row>
    <row r="592">
      <c r="A592" s="1"/>
      <c r="B592" s="1"/>
      <c r="C592" s="1"/>
      <c r="D592" s="1"/>
      <c r="E592" s="1"/>
    </row>
    <row r="593">
      <c r="A593" s="1"/>
      <c r="B593" s="1"/>
      <c r="C593" s="1"/>
      <c r="D593" s="1"/>
      <c r="E593" s="1"/>
    </row>
    <row r="594">
      <c r="A594" s="1"/>
      <c r="B594" s="1"/>
      <c r="C594" s="1"/>
      <c r="D594" s="1"/>
      <c r="E594" s="1"/>
    </row>
    <row r="595">
      <c r="A595" s="1"/>
      <c r="B595" s="1"/>
      <c r="C595" s="1"/>
      <c r="D595" s="1"/>
      <c r="E595" s="1"/>
    </row>
    <row r="596">
      <c r="A596" s="1"/>
      <c r="B596" s="1"/>
      <c r="C596" s="1"/>
      <c r="D596" s="1"/>
      <c r="E596" s="1"/>
    </row>
    <row r="597">
      <c r="A597" s="1"/>
      <c r="B597" s="1"/>
      <c r="C597" s="1"/>
      <c r="D597" s="1"/>
      <c r="E597" s="1"/>
    </row>
    <row r="598">
      <c r="A598" s="1"/>
      <c r="B598" s="1"/>
      <c r="C598" s="1"/>
      <c r="D598" s="1"/>
      <c r="E598" s="1"/>
    </row>
    <row r="599">
      <c r="A599" s="1"/>
      <c r="B599" s="1"/>
      <c r="C599" s="1"/>
      <c r="D599" s="1"/>
      <c r="E599" s="1"/>
    </row>
    <row r="600">
      <c r="A600" s="1"/>
      <c r="B600" s="1"/>
      <c r="C600" s="1"/>
      <c r="D600" s="1"/>
      <c r="E600" s="1"/>
    </row>
    <row r="601">
      <c r="A601" s="1"/>
      <c r="B601" s="1"/>
      <c r="C601" s="1"/>
      <c r="D601" s="1"/>
      <c r="E601" s="1"/>
    </row>
    <row r="602">
      <c r="A602" s="1"/>
      <c r="B602" s="1"/>
      <c r="C602" s="1"/>
      <c r="D602" s="1"/>
      <c r="E602" s="1"/>
    </row>
    <row r="603">
      <c r="A603" s="1"/>
      <c r="B603" s="1"/>
      <c r="C603" s="1"/>
      <c r="D603" s="1"/>
      <c r="E603" s="1"/>
    </row>
    <row r="604">
      <c r="A604" s="1"/>
      <c r="B604" s="1"/>
      <c r="C604" s="1"/>
      <c r="D604" s="1"/>
      <c r="E604" s="1"/>
    </row>
    <row r="605">
      <c r="A605" s="1"/>
      <c r="B605" s="1"/>
      <c r="C605" s="1"/>
      <c r="D605" s="1"/>
      <c r="E605" s="1"/>
    </row>
    <row r="606">
      <c r="A606" s="1"/>
      <c r="B606" s="1"/>
      <c r="C606" s="1"/>
      <c r="D606" s="1"/>
      <c r="E606" s="1"/>
    </row>
    <row r="607">
      <c r="A607" s="1"/>
      <c r="B607" s="1"/>
      <c r="C607" s="1"/>
      <c r="D607" s="1"/>
      <c r="E607" s="1"/>
    </row>
    <row r="608">
      <c r="A608" s="1"/>
      <c r="B608" s="1"/>
      <c r="C608" s="1"/>
      <c r="D608" s="1"/>
      <c r="E608" s="1"/>
    </row>
    <row r="609">
      <c r="A609" s="1"/>
      <c r="B609" s="1"/>
      <c r="C609" s="1"/>
      <c r="D609" s="1"/>
      <c r="E609" s="1"/>
    </row>
    <row r="610">
      <c r="A610" s="1"/>
      <c r="B610" s="1"/>
      <c r="C610" s="1"/>
      <c r="D610" s="1"/>
      <c r="E610" s="1"/>
    </row>
    <row r="611">
      <c r="A611" s="1"/>
      <c r="B611" s="1"/>
      <c r="C611" s="1"/>
      <c r="D611" s="1"/>
      <c r="E611" s="1"/>
    </row>
    <row r="612">
      <c r="A612" s="1"/>
      <c r="B612" s="1"/>
      <c r="C612" s="1"/>
      <c r="D612" s="1"/>
      <c r="E612" s="1"/>
    </row>
    <row r="613">
      <c r="A613" s="1"/>
      <c r="B613" s="1"/>
      <c r="C613" s="1"/>
      <c r="D613" s="1"/>
      <c r="E613" s="1"/>
    </row>
    <row r="614">
      <c r="A614" s="1"/>
      <c r="B614" s="1"/>
      <c r="C614" s="1"/>
      <c r="D614" s="1"/>
      <c r="E614" s="1"/>
    </row>
    <row r="615">
      <c r="A615" s="1"/>
      <c r="B615" s="1"/>
      <c r="C615" s="1"/>
      <c r="D615" s="1"/>
      <c r="E615" s="1"/>
    </row>
    <row r="616">
      <c r="A616" s="1"/>
      <c r="B616" s="1"/>
      <c r="C616" s="1"/>
      <c r="D616" s="1"/>
      <c r="E616" s="1"/>
    </row>
    <row r="617">
      <c r="A617" s="1"/>
      <c r="B617" s="1"/>
      <c r="C617" s="1"/>
      <c r="D617" s="1"/>
      <c r="E617" s="1"/>
    </row>
    <row r="618">
      <c r="A618" s="1"/>
      <c r="B618" s="1"/>
      <c r="C618" s="1"/>
      <c r="D618" s="1"/>
      <c r="E618" s="1"/>
    </row>
    <row r="619">
      <c r="A619" s="1"/>
      <c r="B619" s="1"/>
      <c r="C619" s="1"/>
      <c r="D619" s="1"/>
      <c r="E619" s="1"/>
    </row>
    <row r="620">
      <c r="A620" s="1"/>
      <c r="B620" s="1"/>
      <c r="C620" s="1"/>
      <c r="D620" s="1"/>
      <c r="E620" s="1"/>
    </row>
    <row r="621">
      <c r="A621" s="1"/>
      <c r="B621" s="1"/>
      <c r="C621" s="1"/>
      <c r="D621" s="1"/>
      <c r="E621" s="1"/>
    </row>
    <row r="622">
      <c r="A622" s="1"/>
      <c r="B622" s="1"/>
      <c r="C622" s="1"/>
      <c r="D622" s="1"/>
      <c r="E622" s="1"/>
    </row>
    <row r="623">
      <c r="A623" s="1"/>
      <c r="B623" s="1"/>
      <c r="C623" s="1"/>
      <c r="D623" s="1"/>
      <c r="E623" s="1"/>
    </row>
    <row r="624">
      <c r="A624" s="1"/>
      <c r="B624" s="1"/>
      <c r="C624" s="1"/>
      <c r="D624" s="1"/>
      <c r="E624" s="1"/>
    </row>
    <row r="625">
      <c r="A625" s="1"/>
      <c r="B625" s="1"/>
      <c r="C625" s="1"/>
      <c r="D625" s="1"/>
      <c r="E625" s="1"/>
    </row>
    <row r="626">
      <c r="A626" s="1"/>
      <c r="B626" s="1"/>
      <c r="C626" s="1"/>
      <c r="D626" s="1"/>
      <c r="E626" s="1"/>
    </row>
    <row r="627">
      <c r="A627" s="1"/>
      <c r="B627" s="1"/>
      <c r="C627" s="1"/>
      <c r="D627" s="1"/>
      <c r="E627" s="1"/>
    </row>
    <row r="628">
      <c r="A628" s="1"/>
      <c r="B628" s="1"/>
      <c r="C628" s="1"/>
      <c r="D628" s="1"/>
      <c r="E628" s="1"/>
    </row>
    <row r="629">
      <c r="A629" s="1"/>
      <c r="B629" s="1"/>
      <c r="C629" s="1"/>
      <c r="D629" s="1"/>
      <c r="E629" s="1"/>
    </row>
    <row r="630">
      <c r="A630" s="1"/>
      <c r="B630" s="1"/>
      <c r="C630" s="1"/>
      <c r="D630" s="1"/>
      <c r="E630" s="1"/>
    </row>
    <row r="631">
      <c r="A631" s="1"/>
      <c r="B631" s="1"/>
      <c r="C631" s="1"/>
      <c r="D631" s="1"/>
      <c r="E631" s="1"/>
    </row>
    <row r="632">
      <c r="A632" s="1"/>
      <c r="B632" s="1"/>
      <c r="C632" s="1"/>
      <c r="D632" s="1"/>
      <c r="E632" s="1"/>
    </row>
    <row r="633">
      <c r="A633" s="1"/>
      <c r="B633" s="1"/>
      <c r="C633" s="1"/>
      <c r="D633" s="1"/>
      <c r="E633" s="1"/>
    </row>
    <row r="634">
      <c r="A634" s="1"/>
      <c r="B634" s="1"/>
      <c r="C634" s="1"/>
      <c r="D634" s="1"/>
      <c r="E634" s="1"/>
    </row>
    <row r="635">
      <c r="A635" s="1"/>
      <c r="B635" s="1"/>
      <c r="C635" s="1"/>
      <c r="D635" s="1"/>
      <c r="E635" s="1"/>
    </row>
    <row r="636">
      <c r="A636" s="1"/>
      <c r="B636" s="1"/>
      <c r="C636" s="1"/>
      <c r="D636" s="1"/>
      <c r="E636" s="1"/>
    </row>
    <row r="637">
      <c r="A637" s="1"/>
      <c r="B637" s="1"/>
      <c r="C637" s="1"/>
      <c r="D637" s="1"/>
      <c r="E637" s="1"/>
    </row>
    <row r="638">
      <c r="A638" s="1"/>
      <c r="B638" s="1"/>
      <c r="C638" s="1"/>
      <c r="D638" s="1"/>
      <c r="E638" s="1"/>
    </row>
    <row r="639">
      <c r="A639" s="1"/>
      <c r="B639" s="1"/>
      <c r="C639" s="1"/>
      <c r="D639" s="1"/>
      <c r="E639" s="1"/>
    </row>
    <row r="640">
      <c r="A640" s="1"/>
      <c r="B640" s="1"/>
      <c r="C640" s="1"/>
      <c r="D640" s="1"/>
      <c r="E640" s="1"/>
    </row>
    <row r="641">
      <c r="A641" s="1"/>
      <c r="B641" s="1"/>
      <c r="C641" s="1"/>
      <c r="D641" s="1"/>
      <c r="E641" s="1"/>
    </row>
    <row r="642">
      <c r="A642" s="1"/>
      <c r="B642" s="1"/>
      <c r="C642" s="1"/>
      <c r="D642" s="1"/>
      <c r="E642" s="1"/>
    </row>
    <row r="643">
      <c r="A643" s="1"/>
      <c r="B643" s="1"/>
      <c r="C643" s="1"/>
      <c r="D643" s="1"/>
      <c r="E643" s="1"/>
    </row>
    <row r="644">
      <c r="A644" s="1"/>
      <c r="B644" s="1"/>
      <c r="C644" s="1"/>
      <c r="D644" s="1"/>
      <c r="E644" s="1"/>
    </row>
    <row r="645">
      <c r="A645" s="1"/>
      <c r="B645" s="1"/>
      <c r="C645" s="1"/>
      <c r="D645" s="1"/>
      <c r="E645" s="1"/>
    </row>
    <row r="646">
      <c r="A646" s="1"/>
      <c r="B646" s="1"/>
      <c r="C646" s="1"/>
      <c r="D646" s="1"/>
      <c r="E646" s="1"/>
    </row>
    <row r="647">
      <c r="A647" s="1"/>
      <c r="B647" s="1"/>
      <c r="C647" s="1"/>
      <c r="D647" s="1"/>
      <c r="E647" s="1"/>
    </row>
    <row r="648">
      <c r="A648" s="1"/>
      <c r="B648" s="1"/>
      <c r="C648" s="1"/>
      <c r="D648" s="1"/>
      <c r="E648" s="1"/>
    </row>
    <row r="649">
      <c r="A649" s="1"/>
      <c r="B649" s="1"/>
      <c r="C649" s="1"/>
      <c r="D649" s="1"/>
      <c r="E649" s="1"/>
    </row>
    <row r="650">
      <c r="A650" s="1"/>
      <c r="B650" s="1"/>
      <c r="C650" s="1"/>
      <c r="D650" s="1"/>
      <c r="E650" s="1"/>
    </row>
    <row r="651">
      <c r="A651" s="1"/>
      <c r="B651" s="1"/>
      <c r="C651" s="1"/>
      <c r="D651" s="1"/>
      <c r="E651" s="1"/>
    </row>
    <row r="652">
      <c r="A652" s="1"/>
      <c r="B652" s="1"/>
      <c r="C652" s="1"/>
      <c r="D652" s="1"/>
      <c r="E652" s="1"/>
    </row>
    <row r="653">
      <c r="A653" s="1"/>
      <c r="B653" s="1"/>
      <c r="C653" s="1"/>
      <c r="D653" s="1"/>
      <c r="E653" s="1"/>
    </row>
    <row r="654">
      <c r="A654" s="1"/>
      <c r="B654" s="1"/>
      <c r="C654" s="1"/>
      <c r="D654" s="1"/>
      <c r="E654" s="1"/>
    </row>
    <row r="655">
      <c r="A655" s="1"/>
      <c r="B655" s="1"/>
      <c r="C655" s="1"/>
      <c r="D655" s="1"/>
      <c r="E655" s="1"/>
    </row>
    <row r="656">
      <c r="A656" s="1"/>
      <c r="B656" s="1"/>
      <c r="C656" s="1"/>
      <c r="D656" s="1"/>
      <c r="E656" s="1"/>
    </row>
    <row r="657">
      <c r="A657" s="1"/>
      <c r="B657" s="1"/>
      <c r="C657" s="1"/>
      <c r="D657" s="1"/>
      <c r="E657" s="1"/>
    </row>
    <row r="658">
      <c r="A658" s="1"/>
      <c r="B658" s="1"/>
      <c r="C658" s="1"/>
      <c r="D658" s="1"/>
      <c r="E658" s="1"/>
    </row>
    <row r="659">
      <c r="A659" s="1"/>
      <c r="B659" s="1"/>
      <c r="C659" s="1"/>
      <c r="D659" s="1"/>
      <c r="E659" s="1"/>
    </row>
    <row r="660">
      <c r="A660" s="1"/>
      <c r="B660" s="1"/>
      <c r="C660" s="1"/>
      <c r="D660" s="1"/>
      <c r="E660" s="1"/>
    </row>
    <row r="661">
      <c r="A661" s="1"/>
      <c r="B661" s="1"/>
      <c r="C661" s="1"/>
      <c r="D661" s="1"/>
      <c r="E661" s="1"/>
    </row>
    <row r="662">
      <c r="A662" s="1"/>
      <c r="B662" s="1"/>
      <c r="C662" s="1"/>
      <c r="D662" s="1"/>
      <c r="E662" s="1"/>
    </row>
    <row r="663">
      <c r="A663" s="1"/>
      <c r="B663" s="1"/>
      <c r="C663" s="1"/>
      <c r="D663" s="1"/>
      <c r="E663" s="1"/>
    </row>
    <row r="664">
      <c r="A664" s="1"/>
      <c r="B664" s="1"/>
      <c r="C664" s="1"/>
      <c r="D664" s="1"/>
      <c r="E664" s="1"/>
    </row>
    <row r="665">
      <c r="A665" s="1"/>
      <c r="B665" s="1"/>
      <c r="C665" s="1"/>
      <c r="D665" s="1"/>
      <c r="E665" s="1"/>
    </row>
    <row r="666">
      <c r="A666" s="1"/>
      <c r="B666" s="1"/>
      <c r="C666" s="1"/>
      <c r="D666" s="1"/>
      <c r="E666" s="1"/>
    </row>
    <row r="667">
      <c r="A667" s="1"/>
      <c r="B667" s="1"/>
      <c r="C667" s="1"/>
      <c r="D667" s="1"/>
      <c r="E667" s="1"/>
    </row>
    <row r="668">
      <c r="A668" s="1"/>
      <c r="B668" s="1"/>
      <c r="C668" s="1"/>
      <c r="D668" s="1"/>
      <c r="E668" s="1"/>
    </row>
    <row r="669">
      <c r="A669" s="1"/>
      <c r="B669" s="1"/>
      <c r="C669" s="1"/>
      <c r="D669" s="1"/>
      <c r="E669" s="1"/>
    </row>
    <row r="670">
      <c r="A670" s="1"/>
      <c r="B670" s="1"/>
      <c r="C670" s="1"/>
      <c r="D670" s="1"/>
      <c r="E670" s="1"/>
    </row>
    <row r="671">
      <c r="A671" s="1"/>
      <c r="B671" s="1"/>
      <c r="C671" s="1"/>
      <c r="D671" s="1"/>
      <c r="E671" s="1"/>
    </row>
    <row r="672">
      <c r="A672" s="1"/>
      <c r="B672" s="1"/>
      <c r="C672" s="1"/>
      <c r="D672" s="1"/>
      <c r="E672" s="1"/>
    </row>
    <row r="673">
      <c r="A673" s="1"/>
      <c r="B673" s="1"/>
      <c r="C673" s="1"/>
      <c r="D673" s="1"/>
      <c r="E673" s="1"/>
    </row>
    <row r="674">
      <c r="A674" s="1"/>
      <c r="B674" s="1"/>
      <c r="C674" s="1"/>
      <c r="D674" s="1"/>
      <c r="E674" s="1"/>
    </row>
    <row r="675">
      <c r="A675" s="1"/>
      <c r="B675" s="1"/>
      <c r="C675" s="1"/>
      <c r="D675" s="1"/>
      <c r="E675" s="1"/>
    </row>
    <row r="676">
      <c r="A676" s="1"/>
      <c r="B676" s="1"/>
      <c r="C676" s="1"/>
      <c r="D676" s="1"/>
      <c r="E676" s="1"/>
    </row>
    <row r="677">
      <c r="A677" s="1"/>
      <c r="B677" s="1"/>
      <c r="C677" s="1"/>
      <c r="D677" s="1"/>
      <c r="E677" s="1"/>
    </row>
    <row r="678">
      <c r="A678" s="1"/>
      <c r="B678" s="1"/>
      <c r="C678" s="1"/>
      <c r="D678" s="1"/>
      <c r="E678" s="1"/>
    </row>
    <row r="679">
      <c r="A679" s="1"/>
      <c r="B679" s="1"/>
      <c r="C679" s="1"/>
      <c r="D679" s="1"/>
      <c r="E679" s="1"/>
    </row>
    <row r="680">
      <c r="A680" s="1"/>
      <c r="B680" s="1"/>
      <c r="C680" s="1"/>
      <c r="D680" s="1"/>
      <c r="E680" s="1"/>
    </row>
    <row r="681">
      <c r="A681" s="1"/>
      <c r="B681" s="1"/>
      <c r="C681" s="1"/>
      <c r="D681" s="1"/>
      <c r="E681" s="1"/>
    </row>
    <row r="682">
      <c r="A682" s="1"/>
      <c r="B682" s="1"/>
      <c r="C682" s="1"/>
      <c r="D682" s="1"/>
      <c r="E682" s="1"/>
    </row>
    <row r="683">
      <c r="A683" s="1"/>
      <c r="B683" s="1"/>
      <c r="C683" s="1"/>
      <c r="D683" s="1"/>
      <c r="E683" s="1"/>
    </row>
    <row r="684">
      <c r="A684" s="1"/>
      <c r="B684" s="1"/>
      <c r="C684" s="1"/>
      <c r="D684" s="1"/>
      <c r="E684" s="1"/>
    </row>
    <row r="685">
      <c r="A685" s="1"/>
      <c r="B685" s="1"/>
      <c r="C685" s="1"/>
      <c r="D685" s="1"/>
      <c r="E685" s="1"/>
    </row>
    <row r="686">
      <c r="A686" s="1"/>
      <c r="B686" s="1"/>
      <c r="C686" s="1"/>
      <c r="D686" s="1"/>
      <c r="E686" s="1"/>
    </row>
    <row r="687">
      <c r="A687" s="1"/>
      <c r="B687" s="1"/>
      <c r="C687" s="1"/>
      <c r="D687" s="1"/>
      <c r="E687" s="1"/>
    </row>
    <row r="688">
      <c r="A688" s="1"/>
      <c r="B688" s="1"/>
      <c r="C688" s="1"/>
      <c r="D688" s="1"/>
      <c r="E688" s="1"/>
    </row>
    <row r="689">
      <c r="A689" s="1"/>
      <c r="B689" s="1"/>
      <c r="C689" s="1"/>
      <c r="D689" s="1"/>
      <c r="E689" s="1"/>
    </row>
    <row r="690">
      <c r="A690" s="1"/>
      <c r="B690" s="1"/>
      <c r="C690" s="1"/>
      <c r="D690" s="1"/>
      <c r="E690" s="1"/>
    </row>
    <row r="691">
      <c r="A691" s="1"/>
      <c r="B691" s="1"/>
      <c r="C691" s="1"/>
      <c r="D691" s="1"/>
      <c r="E691" s="1"/>
    </row>
    <row r="692">
      <c r="A692" s="1"/>
      <c r="B692" s="1"/>
      <c r="C692" s="1"/>
      <c r="D692" s="1"/>
      <c r="E692" s="1"/>
    </row>
    <row r="693">
      <c r="A693" s="1"/>
      <c r="B693" s="1"/>
      <c r="C693" s="1"/>
      <c r="D693" s="1"/>
      <c r="E693" s="1"/>
    </row>
    <row r="694">
      <c r="A694" s="1"/>
      <c r="B694" s="1"/>
      <c r="C694" s="1"/>
      <c r="D694" s="1"/>
      <c r="E694" s="1"/>
    </row>
    <row r="695">
      <c r="A695" s="1"/>
      <c r="B695" s="1"/>
      <c r="C695" s="1"/>
      <c r="D695" s="1"/>
      <c r="E695" s="1"/>
    </row>
    <row r="696">
      <c r="A696" s="1"/>
      <c r="B696" s="1"/>
      <c r="C696" s="1"/>
      <c r="D696" s="1"/>
      <c r="E696" s="1"/>
    </row>
    <row r="697">
      <c r="A697" s="1"/>
      <c r="B697" s="1"/>
      <c r="C697" s="1"/>
      <c r="D697" s="1"/>
      <c r="E697" s="1"/>
    </row>
    <row r="698">
      <c r="A698" s="1"/>
      <c r="B698" s="1"/>
      <c r="C698" s="1"/>
      <c r="D698" s="1"/>
      <c r="E698" s="1"/>
    </row>
    <row r="699">
      <c r="A699" s="1"/>
      <c r="B699" s="1"/>
      <c r="C699" s="1"/>
      <c r="D699" s="1"/>
      <c r="E699" s="1"/>
    </row>
    <row r="700">
      <c r="A700" s="1"/>
      <c r="B700" s="1"/>
      <c r="C700" s="1"/>
      <c r="D700" s="1"/>
      <c r="E700" s="1"/>
    </row>
    <row r="701">
      <c r="A701" s="1"/>
      <c r="B701" s="1"/>
      <c r="C701" s="1"/>
      <c r="D701" s="1"/>
      <c r="E701" s="1"/>
    </row>
    <row r="702">
      <c r="A702" s="1"/>
      <c r="B702" s="1"/>
      <c r="C702" s="1"/>
      <c r="D702" s="1"/>
      <c r="E702" s="1"/>
    </row>
    <row r="703">
      <c r="A703" s="1"/>
      <c r="B703" s="1"/>
      <c r="C703" s="1"/>
      <c r="D703" s="1"/>
      <c r="E703" s="1"/>
    </row>
    <row r="704">
      <c r="A704" s="1"/>
      <c r="B704" s="1"/>
      <c r="C704" s="1"/>
      <c r="D704" s="1"/>
      <c r="E704" s="1"/>
    </row>
    <row r="705">
      <c r="A705" s="1"/>
      <c r="B705" s="1"/>
      <c r="C705" s="1"/>
      <c r="D705" s="1"/>
      <c r="E705" s="1"/>
    </row>
    <row r="706">
      <c r="A706" s="1"/>
      <c r="B706" s="1"/>
      <c r="C706" s="1"/>
      <c r="D706" s="1"/>
      <c r="E706" s="1"/>
    </row>
    <row r="707">
      <c r="A707" s="1"/>
      <c r="B707" s="1"/>
      <c r="C707" s="1"/>
      <c r="D707" s="1"/>
      <c r="E707" s="1"/>
    </row>
    <row r="708">
      <c r="A708" s="1"/>
      <c r="B708" s="1"/>
      <c r="C708" s="1"/>
      <c r="D708" s="1"/>
      <c r="E708" s="1"/>
    </row>
    <row r="709">
      <c r="A709" s="1"/>
      <c r="B709" s="1"/>
      <c r="C709" s="1"/>
      <c r="D709" s="1"/>
      <c r="E709" s="1"/>
    </row>
    <row r="710">
      <c r="A710" s="1"/>
      <c r="B710" s="1"/>
      <c r="C710" s="1"/>
      <c r="D710" s="1"/>
      <c r="E710" s="1"/>
    </row>
    <row r="711">
      <c r="A711" s="1"/>
      <c r="B711" s="1"/>
      <c r="C711" s="1"/>
      <c r="D711" s="1"/>
      <c r="E711" s="1"/>
    </row>
    <row r="712">
      <c r="A712" s="1"/>
      <c r="B712" s="1"/>
      <c r="C712" s="1"/>
      <c r="D712" s="1"/>
      <c r="E712" s="1"/>
    </row>
    <row r="713">
      <c r="A713" s="1"/>
      <c r="B713" s="1"/>
      <c r="C713" s="1"/>
      <c r="D713" s="1"/>
      <c r="E713" s="1"/>
    </row>
    <row r="714">
      <c r="A714" s="1"/>
      <c r="B714" s="1"/>
      <c r="C714" s="1"/>
      <c r="D714" s="1"/>
      <c r="E714" s="1"/>
    </row>
    <row r="715">
      <c r="A715" s="1"/>
      <c r="B715" s="1"/>
      <c r="C715" s="1"/>
      <c r="D715" s="1"/>
      <c r="E715" s="1"/>
    </row>
    <row r="716">
      <c r="A716" s="1"/>
      <c r="B716" s="1"/>
      <c r="C716" s="1"/>
      <c r="D716" s="1"/>
      <c r="E716" s="1"/>
    </row>
    <row r="717">
      <c r="A717" s="1"/>
      <c r="B717" s="1"/>
      <c r="C717" s="1"/>
      <c r="D717" s="1"/>
      <c r="E717" s="1"/>
    </row>
    <row r="718">
      <c r="A718" s="1"/>
      <c r="B718" s="1"/>
      <c r="C718" s="1"/>
      <c r="D718" s="1"/>
      <c r="E718" s="1"/>
    </row>
    <row r="719">
      <c r="A719" s="1"/>
      <c r="B719" s="1"/>
      <c r="C719" s="1"/>
      <c r="D719" s="1"/>
      <c r="E719" s="1"/>
    </row>
    <row r="720">
      <c r="A720" s="1"/>
      <c r="B720" s="1"/>
      <c r="C720" s="1"/>
      <c r="D720" s="1"/>
      <c r="E720" s="1"/>
    </row>
    <row r="721">
      <c r="A721" s="1"/>
      <c r="B721" s="1"/>
      <c r="C721" s="1"/>
      <c r="D721" s="1"/>
      <c r="E721" s="1"/>
    </row>
    <row r="722">
      <c r="A722" s="1"/>
      <c r="B722" s="1"/>
      <c r="C722" s="1"/>
      <c r="D722" s="1"/>
      <c r="E722" s="1"/>
    </row>
    <row r="723">
      <c r="A723" s="1"/>
      <c r="B723" s="1"/>
      <c r="C723" s="1"/>
      <c r="D723" s="1"/>
      <c r="E723" s="1"/>
    </row>
    <row r="724">
      <c r="A724" s="1"/>
      <c r="B724" s="1"/>
      <c r="C724" s="1"/>
      <c r="D724" s="1"/>
      <c r="E724" s="1"/>
    </row>
    <row r="725">
      <c r="A725" s="1"/>
      <c r="B725" s="1"/>
      <c r="C725" s="1"/>
      <c r="D725" s="1"/>
      <c r="E725" s="1"/>
    </row>
    <row r="726">
      <c r="A726" s="1"/>
      <c r="B726" s="1"/>
      <c r="C726" s="1"/>
      <c r="D726" s="1"/>
      <c r="E726" s="1"/>
    </row>
    <row r="727">
      <c r="A727" s="1"/>
      <c r="B727" s="1"/>
      <c r="C727" s="1"/>
      <c r="D727" s="1"/>
      <c r="E727" s="1"/>
    </row>
    <row r="728">
      <c r="A728" s="1"/>
      <c r="B728" s="1"/>
      <c r="C728" s="1"/>
      <c r="D728" s="1"/>
      <c r="E728" s="1"/>
    </row>
    <row r="729">
      <c r="A729" s="1"/>
      <c r="B729" s="1"/>
      <c r="C729" s="1"/>
      <c r="D729" s="1"/>
      <c r="E729" s="1"/>
    </row>
    <row r="730">
      <c r="A730" s="1"/>
      <c r="B730" s="1"/>
      <c r="C730" s="1"/>
      <c r="D730" s="1"/>
      <c r="E730" s="1"/>
    </row>
    <row r="731">
      <c r="A731" s="1"/>
      <c r="B731" s="1"/>
      <c r="C731" s="1"/>
      <c r="D731" s="1"/>
      <c r="E731" s="1"/>
    </row>
    <row r="732">
      <c r="A732" s="1"/>
      <c r="B732" s="1"/>
      <c r="C732" s="1"/>
      <c r="D732" s="1"/>
      <c r="E732" s="1"/>
    </row>
    <row r="733">
      <c r="A733" s="1"/>
      <c r="B733" s="1"/>
      <c r="C733" s="1"/>
      <c r="D733" s="1"/>
      <c r="E733" s="1"/>
    </row>
    <row r="734">
      <c r="A734" s="1"/>
      <c r="B734" s="1"/>
      <c r="C734" s="1"/>
      <c r="D734" s="1"/>
      <c r="E734" s="1"/>
    </row>
    <row r="735">
      <c r="A735" s="1"/>
      <c r="B735" s="1"/>
      <c r="C735" s="1"/>
      <c r="D735" s="1"/>
      <c r="E735" s="1"/>
    </row>
    <row r="736">
      <c r="A736" s="1"/>
      <c r="B736" s="1"/>
      <c r="C736" s="1"/>
      <c r="D736" s="1"/>
      <c r="E736" s="1"/>
    </row>
    <row r="737">
      <c r="A737" s="1"/>
      <c r="B737" s="1"/>
      <c r="C737" s="1"/>
      <c r="D737" s="1"/>
      <c r="E737" s="1"/>
    </row>
    <row r="738">
      <c r="A738" s="1"/>
      <c r="B738" s="1"/>
      <c r="C738" s="1"/>
      <c r="D738" s="1"/>
      <c r="E738" s="1"/>
    </row>
    <row r="739">
      <c r="A739" s="1"/>
      <c r="B739" s="1"/>
      <c r="C739" s="1"/>
      <c r="D739" s="1"/>
      <c r="E739" s="1"/>
    </row>
    <row r="740">
      <c r="A740" s="1"/>
      <c r="B740" s="1"/>
      <c r="C740" s="1"/>
      <c r="D740" s="1"/>
      <c r="E740" s="1"/>
    </row>
    <row r="741">
      <c r="A741" s="1"/>
      <c r="B741" s="1"/>
      <c r="C741" s="1"/>
      <c r="D741" s="1"/>
      <c r="E741" s="1"/>
    </row>
    <row r="742">
      <c r="A742" s="1"/>
      <c r="B742" s="1"/>
      <c r="C742" s="1"/>
      <c r="D742" s="1"/>
      <c r="E742" s="1"/>
    </row>
    <row r="743">
      <c r="A743" s="1"/>
      <c r="B743" s="1"/>
      <c r="C743" s="1"/>
      <c r="D743" s="1"/>
      <c r="E743" s="1"/>
    </row>
    <row r="744">
      <c r="A744" s="1"/>
      <c r="B744" s="1"/>
      <c r="C744" s="1"/>
      <c r="D744" s="1"/>
      <c r="E744" s="1"/>
    </row>
    <row r="745">
      <c r="A745" s="1"/>
      <c r="B745" s="1"/>
      <c r="C745" s="1"/>
      <c r="D745" s="1"/>
      <c r="E745" s="1"/>
    </row>
    <row r="746">
      <c r="A746" s="1"/>
      <c r="B746" s="1"/>
      <c r="C746" s="1"/>
      <c r="D746" s="1"/>
      <c r="E746" s="1"/>
    </row>
    <row r="747">
      <c r="A747" s="1"/>
      <c r="B747" s="1"/>
      <c r="C747" s="1"/>
      <c r="D747" s="1"/>
      <c r="E747" s="1"/>
    </row>
    <row r="748">
      <c r="A748" s="1"/>
      <c r="B748" s="1"/>
      <c r="C748" s="1"/>
      <c r="D748" s="1"/>
      <c r="E748" s="1"/>
    </row>
    <row r="749">
      <c r="A749" s="1"/>
      <c r="B749" s="1"/>
      <c r="C749" s="1"/>
      <c r="D749" s="1"/>
      <c r="E749" s="1"/>
    </row>
    <row r="750">
      <c r="A750" s="1"/>
      <c r="B750" s="1"/>
      <c r="C750" s="1"/>
      <c r="D750" s="1"/>
      <c r="E750" s="1"/>
    </row>
    <row r="751">
      <c r="A751" s="1"/>
      <c r="B751" s="1"/>
      <c r="C751" s="1"/>
      <c r="D751" s="1"/>
      <c r="E751" s="1"/>
    </row>
    <row r="752">
      <c r="A752" s="1"/>
      <c r="B752" s="1"/>
      <c r="C752" s="1"/>
      <c r="D752" s="1"/>
      <c r="E752" s="1"/>
    </row>
    <row r="753">
      <c r="A753" s="1"/>
      <c r="B753" s="1"/>
      <c r="C753" s="1"/>
      <c r="D753" s="1"/>
      <c r="E753" s="1"/>
    </row>
    <row r="754">
      <c r="A754" s="1"/>
      <c r="B754" s="1"/>
      <c r="C754" s="1"/>
      <c r="D754" s="1"/>
      <c r="E754" s="1"/>
    </row>
    <row r="755">
      <c r="A755" s="1"/>
      <c r="B755" s="1"/>
      <c r="C755" s="1"/>
      <c r="D755" s="1"/>
      <c r="E755" s="1"/>
    </row>
    <row r="756">
      <c r="A756" s="1"/>
      <c r="B756" s="1"/>
      <c r="C756" s="1"/>
      <c r="D756" s="1"/>
      <c r="E756" s="1"/>
    </row>
    <row r="757">
      <c r="A757" s="1"/>
      <c r="B757" s="1"/>
      <c r="C757" s="1"/>
      <c r="D757" s="1"/>
      <c r="E757" s="1"/>
    </row>
    <row r="758">
      <c r="A758" s="1"/>
      <c r="B758" s="1"/>
      <c r="C758" s="1"/>
      <c r="D758" s="1"/>
      <c r="E758" s="1"/>
    </row>
    <row r="759">
      <c r="A759" s="1"/>
      <c r="B759" s="1"/>
      <c r="C759" s="1"/>
      <c r="D759" s="1"/>
      <c r="E759" s="1"/>
    </row>
    <row r="760">
      <c r="A760" s="1"/>
      <c r="B760" s="1"/>
      <c r="C760" s="1"/>
      <c r="D760" s="1"/>
      <c r="E760" s="1"/>
    </row>
    <row r="761">
      <c r="A761" s="1"/>
      <c r="B761" s="1"/>
      <c r="C761" s="1"/>
      <c r="D761" s="1"/>
      <c r="E761" s="1"/>
    </row>
    <row r="762">
      <c r="A762" s="1"/>
      <c r="B762" s="1"/>
      <c r="C762" s="1"/>
      <c r="D762" s="1"/>
      <c r="E762" s="1"/>
    </row>
    <row r="763">
      <c r="A763" s="1"/>
      <c r="B763" s="1"/>
      <c r="C763" s="1"/>
      <c r="D763" s="1"/>
      <c r="E763" s="1"/>
    </row>
    <row r="764">
      <c r="A764" s="1"/>
      <c r="B764" s="1"/>
      <c r="C764" s="1"/>
      <c r="D764" s="1"/>
      <c r="E764" s="1"/>
    </row>
    <row r="765">
      <c r="A765" s="1"/>
      <c r="B765" s="1"/>
      <c r="C765" s="1"/>
      <c r="D765" s="1"/>
      <c r="E765" s="1"/>
    </row>
    <row r="766">
      <c r="A766" s="1"/>
      <c r="B766" s="1"/>
      <c r="C766" s="1"/>
      <c r="D766" s="1"/>
      <c r="E766" s="1"/>
    </row>
    <row r="767">
      <c r="A767" s="1"/>
      <c r="B767" s="1"/>
      <c r="C767" s="1"/>
      <c r="D767" s="1"/>
      <c r="E767" s="1"/>
    </row>
    <row r="768">
      <c r="A768" s="1"/>
      <c r="B768" s="1"/>
      <c r="C768" s="1"/>
      <c r="D768" s="1"/>
      <c r="E768" s="1"/>
    </row>
    <row r="769">
      <c r="A769" s="1"/>
      <c r="B769" s="1"/>
      <c r="C769" s="1"/>
      <c r="D769" s="1"/>
      <c r="E769" s="1"/>
    </row>
    <row r="770">
      <c r="A770" s="1"/>
      <c r="B770" s="1"/>
      <c r="C770" s="1"/>
      <c r="D770" s="1"/>
      <c r="E770" s="1"/>
    </row>
    <row r="771">
      <c r="A771" s="1"/>
      <c r="B771" s="1"/>
      <c r="C771" s="1"/>
      <c r="D771" s="1"/>
      <c r="E771" s="1"/>
    </row>
    <row r="772">
      <c r="A772" s="1"/>
      <c r="B772" s="1"/>
      <c r="C772" s="1"/>
      <c r="D772" s="1"/>
      <c r="E772" s="1"/>
    </row>
    <row r="773">
      <c r="A773" s="1"/>
      <c r="B773" s="1"/>
      <c r="C773" s="1"/>
      <c r="D773" s="1"/>
      <c r="E773" s="1"/>
    </row>
    <row r="774">
      <c r="A774" s="1"/>
      <c r="B774" s="1"/>
      <c r="C774" s="1"/>
      <c r="D774" s="1"/>
      <c r="E774" s="1"/>
    </row>
    <row r="775">
      <c r="A775" s="1"/>
      <c r="B775" s="1"/>
      <c r="C775" s="1"/>
      <c r="D775" s="1"/>
      <c r="E775" s="1"/>
    </row>
    <row r="776">
      <c r="A776" s="1"/>
      <c r="B776" s="1"/>
      <c r="C776" s="1"/>
      <c r="D776" s="1"/>
      <c r="E776" s="1"/>
    </row>
    <row r="777">
      <c r="A777" s="1"/>
      <c r="B777" s="1"/>
      <c r="C777" s="1"/>
      <c r="D777" s="1"/>
      <c r="E777" s="1"/>
    </row>
    <row r="778">
      <c r="A778" s="1"/>
      <c r="B778" s="1"/>
      <c r="C778" s="1"/>
      <c r="D778" s="1"/>
      <c r="E778" s="1"/>
    </row>
    <row r="779">
      <c r="A779" s="1"/>
      <c r="B779" s="1"/>
      <c r="C779" s="1"/>
      <c r="D779" s="1"/>
      <c r="E779" s="1"/>
    </row>
    <row r="780">
      <c r="A780" s="1"/>
      <c r="B780" s="1"/>
      <c r="C780" s="1"/>
      <c r="D780" s="1"/>
      <c r="E780" s="1"/>
    </row>
    <row r="781">
      <c r="A781" s="1"/>
      <c r="B781" s="1"/>
      <c r="C781" s="1"/>
      <c r="D781" s="1"/>
      <c r="E781" s="1"/>
    </row>
    <row r="782">
      <c r="A782" s="1"/>
      <c r="B782" s="1"/>
      <c r="C782" s="1"/>
      <c r="D782" s="1"/>
      <c r="E782" s="1"/>
    </row>
    <row r="783">
      <c r="A783" s="1"/>
      <c r="B783" s="1"/>
      <c r="C783" s="1"/>
      <c r="D783" s="1"/>
      <c r="E783" s="1"/>
    </row>
    <row r="784">
      <c r="A784" s="1"/>
      <c r="B784" s="1"/>
      <c r="C784" s="1"/>
      <c r="D784" s="1"/>
      <c r="E784" s="1"/>
    </row>
    <row r="785">
      <c r="A785" s="1"/>
      <c r="B785" s="1"/>
      <c r="C785" s="1"/>
      <c r="D785" s="1"/>
      <c r="E785" s="1"/>
    </row>
    <row r="786">
      <c r="A786" s="1"/>
      <c r="B786" s="1"/>
      <c r="C786" s="1"/>
      <c r="D786" s="1"/>
      <c r="E786" s="1"/>
    </row>
    <row r="787">
      <c r="A787" s="1"/>
      <c r="B787" s="1"/>
      <c r="C787" s="1"/>
      <c r="D787" s="1"/>
      <c r="E787" s="1"/>
    </row>
    <row r="788">
      <c r="A788" s="1"/>
      <c r="B788" s="1"/>
      <c r="C788" s="1"/>
      <c r="D788" s="1"/>
      <c r="E788" s="1"/>
    </row>
    <row r="789">
      <c r="A789" s="1"/>
      <c r="B789" s="1"/>
      <c r="C789" s="1"/>
      <c r="D789" s="1"/>
      <c r="E789" s="1"/>
    </row>
    <row r="790">
      <c r="A790" s="1"/>
      <c r="B790" s="1"/>
      <c r="C790" s="1"/>
      <c r="D790" s="1"/>
      <c r="E790" s="1"/>
    </row>
    <row r="791">
      <c r="A791" s="1"/>
      <c r="B791" s="1"/>
      <c r="C791" s="1"/>
      <c r="D791" s="1"/>
      <c r="E791" s="1"/>
    </row>
    <row r="792">
      <c r="A792" s="1"/>
      <c r="B792" s="1"/>
      <c r="C792" s="1"/>
      <c r="D792" s="1"/>
      <c r="E792" s="1"/>
    </row>
    <row r="793">
      <c r="A793" s="1"/>
      <c r="B793" s="1"/>
      <c r="C793" s="1"/>
      <c r="D793" s="1"/>
      <c r="E793" s="1"/>
    </row>
    <row r="794">
      <c r="A794" s="1"/>
      <c r="B794" s="1"/>
      <c r="C794" s="1"/>
      <c r="D794" s="1"/>
      <c r="E794" s="1"/>
    </row>
    <row r="795">
      <c r="A795" s="1"/>
      <c r="B795" s="1"/>
      <c r="C795" s="1"/>
      <c r="D795" s="1"/>
      <c r="E795" s="1"/>
    </row>
    <row r="796">
      <c r="A796" s="1"/>
      <c r="B796" s="1"/>
      <c r="C796" s="1"/>
      <c r="D796" s="1"/>
      <c r="E796" s="1"/>
    </row>
    <row r="797">
      <c r="A797" s="1"/>
      <c r="B797" s="1"/>
      <c r="C797" s="1"/>
      <c r="D797" s="1"/>
      <c r="E797" s="1"/>
    </row>
    <row r="798">
      <c r="A798" s="1"/>
      <c r="B798" s="1"/>
      <c r="C798" s="1"/>
      <c r="D798" s="1"/>
      <c r="E798" s="1"/>
    </row>
    <row r="799">
      <c r="A799" s="1"/>
      <c r="B799" s="1"/>
      <c r="C799" s="1"/>
      <c r="D799" s="1"/>
      <c r="E799" s="1"/>
    </row>
    <row r="800">
      <c r="A800" s="1"/>
      <c r="B800" s="1"/>
      <c r="C800" s="1"/>
      <c r="D800" s="1"/>
      <c r="E800" s="1"/>
    </row>
    <row r="801">
      <c r="A801" s="1"/>
      <c r="B801" s="1"/>
      <c r="C801" s="1"/>
      <c r="D801" s="1"/>
      <c r="E801" s="1"/>
    </row>
    <row r="802">
      <c r="A802" s="1"/>
      <c r="B802" s="1"/>
      <c r="C802" s="1"/>
      <c r="D802" s="1"/>
      <c r="E802" s="1"/>
    </row>
    <row r="803">
      <c r="A803" s="1"/>
      <c r="B803" s="1"/>
      <c r="C803" s="1"/>
      <c r="D803" s="1"/>
      <c r="E803" s="1"/>
    </row>
    <row r="804">
      <c r="A804" s="1"/>
      <c r="B804" s="1"/>
      <c r="C804" s="1"/>
      <c r="D804" s="1"/>
      <c r="E804" s="1"/>
    </row>
    <row r="805">
      <c r="A805" s="1"/>
      <c r="B805" s="1"/>
      <c r="C805" s="1"/>
      <c r="D805" s="1"/>
      <c r="E805" s="1"/>
    </row>
    <row r="806">
      <c r="A806" s="1"/>
      <c r="B806" s="1"/>
      <c r="C806" s="1"/>
      <c r="D806" s="1"/>
      <c r="E806" s="1"/>
    </row>
    <row r="807">
      <c r="A807" s="1"/>
      <c r="B807" s="1"/>
      <c r="C807" s="1"/>
      <c r="D807" s="1"/>
      <c r="E807" s="1"/>
    </row>
    <row r="808">
      <c r="A808" s="1"/>
      <c r="B808" s="1"/>
      <c r="C808" s="1"/>
      <c r="D808" s="1"/>
      <c r="E808" s="1"/>
    </row>
    <row r="809">
      <c r="A809" s="1"/>
      <c r="B809" s="1"/>
      <c r="C809" s="1"/>
      <c r="D809" s="1"/>
      <c r="E809" s="1"/>
    </row>
    <row r="810">
      <c r="A810" s="1"/>
      <c r="B810" s="1"/>
      <c r="C810" s="1"/>
      <c r="D810" s="1"/>
      <c r="E810" s="1"/>
    </row>
    <row r="811">
      <c r="A811" s="1"/>
      <c r="B811" s="1"/>
      <c r="C811" s="1"/>
      <c r="D811" s="1"/>
      <c r="E811" s="1"/>
    </row>
    <row r="812">
      <c r="A812" s="1"/>
      <c r="B812" s="1"/>
      <c r="C812" s="1"/>
      <c r="D812" s="1"/>
      <c r="E812" s="1"/>
    </row>
    <row r="813">
      <c r="A813" s="1"/>
      <c r="B813" s="1"/>
      <c r="C813" s="1"/>
      <c r="D813" s="1"/>
      <c r="E813" s="1"/>
    </row>
    <row r="814">
      <c r="A814" s="1"/>
      <c r="B814" s="1"/>
      <c r="C814" s="1"/>
      <c r="D814" s="1"/>
      <c r="E814" s="1"/>
    </row>
    <row r="815">
      <c r="A815" s="1"/>
      <c r="B815" s="1"/>
      <c r="C815" s="1"/>
      <c r="D815" s="1"/>
      <c r="E815" s="1"/>
    </row>
    <row r="816">
      <c r="A816" s="1"/>
      <c r="B816" s="1"/>
      <c r="C816" s="1"/>
      <c r="D816" s="1"/>
      <c r="E816" s="1"/>
    </row>
    <row r="817">
      <c r="A817" s="1"/>
      <c r="B817" s="1"/>
      <c r="C817" s="1"/>
      <c r="D817" s="1"/>
      <c r="E817" s="1"/>
    </row>
    <row r="818">
      <c r="A818" s="1"/>
      <c r="B818" s="1"/>
      <c r="C818" s="1"/>
      <c r="D818" s="1"/>
      <c r="E818" s="1"/>
    </row>
    <row r="819">
      <c r="A819" s="1"/>
      <c r="B819" s="1"/>
      <c r="C819" s="1"/>
      <c r="D819" s="1"/>
      <c r="E819" s="1"/>
    </row>
    <row r="820">
      <c r="A820" s="1"/>
      <c r="B820" s="1"/>
      <c r="C820" s="1"/>
      <c r="D820" s="1"/>
      <c r="E820" s="1"/>
    </row>
    <row r="821">
      <c r="A821" s="1"/>
      <c r="B821" s="1"/>
      <c r="C821" s="1"/>
      <c r="D821" s="1"/>
      <c r="E821" s="1"/>
    </row>
    <row r="822">
      <c r="A822" s="1"/>
      <c r="B822" s="1"/>
      <c r="C822" s="1"/>
      <c r="D822" s="1"/>
      <c r="E822" s="1"/>
    </row>
    <row r="823">
      <c r="A823" s="1"/>
      <c r="B823" s="1"/>
      <c r="C823" s="1"/>
      <c r="D823" s="1"/>
      <c r="E823" s="1"/>
    </row>
    <row r="824">
      <c r="A824" s="1"/>
      <c r="B824" s="1"/>
      <c r="C824" s="1"/>
      <c r="D824" s="1"/>
      <c r="E824" s="1"/>
    </row>
    <row r="825">
      <c r="A825" s="1"/>
      <c r="B825" s="1"/>
      <c r="C825" s="1"/>
      <c r="D825" s="1"/>
      <c r="E825" s="1"/>
    </row>
    <row r="826">
      <c r="A826" s="1"/>
      <c r="B826" s="1"/>
      <c r="C826" s="1"/>
      <c r="D826" s="1"/>
      <c r="E826" s="1"/>
    </row>
    <row r="827">
      <c r="A827" s="1"/>
      <c r="B827" s="1"/>
      <c r="C827" s="1"/>
      <c r="D827" s="1"/>
      <c r="E827" s="1"/>
    </row>
    <row r="828">
      <c r="A828" s="1"/>
      <c r="B828" s="1"/>
      <c r="C828" s="1"/>
      <c r="D828" s="1"/>
      <c r="E828" s="1"/>
    </row>
    <row r="829">
      <c r="A829" s="1"/>
      <c r="B829" s="1"/>
      <c r="C829" s="1"/>
      <c r="D829" s="1"/>
      <c r="E829" s="1"/>
    </row>
    <row r="830">
      <c r="A830" s="1"/>
      <c r="B830" s="1"/>
      <c r="C830" s="1"/>
      <c r="D830" s="1"/>
      <c r="E830" s="1"/>
    </row>
    <row r="831">
      <c r="A831" s="1"/>
      <c r="B831" s="1"/>
      <c r="C831" s="1"/>
      <c r="D831" s="1"/>
      <c r="E831" s="1"/>
    </row>
    <row r="832">
      <c r="A832" s="1"/>
      <c r="B832" s="1"/>
      <c r="C832" s="1"/>
      <c r="D832" s="1"/>
      <c r="E832" s="1"/>
    </row>
    <row r="833">
      <c r="A833" s="1"/>
      <c r="B833" s="1"/>
      <c r="C833" s="1"/>
      <c r="D833" s="1"/>
      <c r="E833" s="1"/>
    </row>
    <row r="834">
      <c r="A834" s="1"/>
      <c r="B834" s="1"/>
      <c r="C834" s="1"/>
      <c r="D834" s="1"/>
      <c r="E834" s="1"/>
    </row>
    <row r="835">
      <c r="A835" s="1"/>
      <c r="B835" s="1"/>
      <c r="C835" s="1"/>
      <c r="D835" s="1"/>
      <c r="E835" s="1"/>
    </row>
    <row r="836">
      <c r="A836" s="1"/>
      <c r="B836" s="1"/>
      <c r="C836" s="1"/>
      <c r="D836" s="1"/>
      <c r="E836" s="1"/>
    </row>
    <row r="837">
      <c r="A837" s="1"/>
      <c r="B837" s="1"/>
      <c r="C837" s="1"/>
      <c r="D837" s="1"/>
      <c r="E837" s="1"/>
    </row>
    <row r="838">
      <c r="A838" s="1"/>
      <c r="B838" s="1"/>
      <c r="C838" s="1"/>
      <c r="D838" s="1"/>
      <c r="E838" s="1"/>
    </row>
    <row r="839">
      <c r="A839" s="1"/>
      <c r="B839" s="1"/>
      <c r="C839" s="1"/>
      <c r="D839" s="1"/>
      <c r="E839" s="1"/>
    </row>
    <row r="840">
      <c r="A840" s="1"/>
      <c r="B840" s="1"/>
      <c r="C840" s="1"/>
      <c r="D840" s="1"/>
      <c r="E840" s="1"/>
    </row>
    <row r="841">
      <c r="A841" s="1"/>
      <c r="B841" s="1"/>
      <c r="C841" s="1"/>
      <c r="D841" s="1"/>
      <c r="E841" s="1"/>
    </row>
    <row r="842">
      <c r="A842" s="1"/>
      <c r="B842" s="1"/>
      <c r="C842" s="1"/>
      <c r="D842" s="1"/>
      <c r="E842" s="1"/>
    </row>
    <row r="843">
      <c r="A843" s="1"/>
      <c r="B843" s="1"/>
      <c r="C843" s="1"/>
      <c r="D843" s="1"/>
      <c r="E843" s="1"/>
    </row>
    <row r="844">
      <c r="A844" s="1"/>
      <c r="B844" s="1"/>
      <c r="C844" s="1"/>
      <c r="D844" s="1"/>
      <c r="E844" s="1"/>
    </row>
    <row r="845">
      <c r="A845" s="1"/>
      <c r="B845" s="1"/>
      <c r="C845" s="1"/>
      <c r="D845" s="1"/>
      <c r="E845" s="1"/>
    </row>
    <row r="846">
      <c r="A846" s="1"/>
      <c r="B846" s="1"/>
      <c r="C846" s="1"/>
      <c r="D846" s="1"/>
      <c r="E846" s="1"/>
    </row>
    <row r="847">
      <c r="A847" s="1"/>
      <c r="B847" s="1"/>
      <c r="C847" s="1"/>
      <c r="D847" s="1"/>
      <c r="E847" s="1"/>
    </row>
    <row r="848">
      <c r="A848" s="1"/>
      <c r="B848" s="1"/>
      <c r="C848" s="1"/>
      <c r="D848" s="1"/>
      <c r="E848" s="1"/>
    </row>
    <row r="849">
      <c r="A849" s="1"/>
      <c r="B849" s="1"/>
      <c r="C849" s="1"/>
      <c r="D849" s="1"/>
      <c r="E849" s="1"/>
    </row>
    <row r="850">
      <c r="A850" s="1"/>
      <c r="B850" s="1"/>
      <c r="C850" s="1"/>
      <c r="D850" s="1"/>
      <c r="E850" s="1"/>
    </row>
    <row r="851">
      <c r="A851" s="1"/>
      <c r="B851" s="1"/>
      <c r="C851" s="1"/>
      <c r="D851" s="1"/>
      <c r="E851" s="1"/>
    </row>
    <row r="852">
      <c r="A852" s="1"/>
      <c r="B852" s="1"/>
      <c r="C852" s="1"/>
      <c r="D852" s="1"/>
      <c r="E852" s="1"/>
    </row>
    <row r="853">
      <c r="A853" s="1"/>
      <c r="B853" s="1"/>
      <c r="C853" s="1"/>
      <c r="D853" s="1"/>
      <c r="E853" s="1"/>
    </row>
    <row r="854">
      <c r="A854" s="1"/>
      <c r="B854" s="1"/>
      <c r="C854" s="1"/>
      <c r="D854" s="1"/>
      <c r="E854" s="1"/>
    </row>
    <row r="855">
      <c r="A855" s="1"/>
      <c r="B855" s="1"/>
      <c r="C855" s="1"/>
      <c r="D855" s="1"/>
      <c r="E855" s="1"/>
    </row>
    <row r="856">
      <c r="A856" s="1"/>
      <c r="B856" s="1"/>
      <c r="C856" s="1"/>
      <c r="D856" s="1"/>
      <c r="E856" s="1"/>
    </row>
    <row r="857">
      <c r="A857" s="1"/>
      <c r="B857" s="1"/>
      <c r="C857" s="1"/>
      <c r="D857" s="1"/>
      <c r="E857" s="1"/>
    </row>
    <row r="858">
      <c r="A858" s="1"/>
      <c r="B858" s="1"/>
      <c r="C858" s="1"/>
      <c r="D858" s="1"/>
      <c r="E858" s="1"/>
    </row>
    <row r="859">
      <c r="A859" s="1"/>
      <c r="B859" s="1"/>
      <c r="C859" s="1"/>
      <c r="D859" s="1"/>
      <c r="E859" s="1"/>
    </row>
    <row r="860">
      <c r="A860" s="1"/>
      <c r="B860" s="1"/>
      <c r="C860" s="1"/>
      <c r="D860" s="1"/>
      <c r="E860" s="1"/>
    </row>
    <row r="861">
      <c r="A861" s="1"/>
      <c r="B861" s="1"/>
      <c r="C861" s="1"/>
      <c r="D861" s="1"/>
      <c r="E861" s="1"/>
    </row>
    <row r="862">
      <c r="A862" s="1"/>
      <c r="B862" s="1"/>
      <c r="C862" s="1"/>
      <c r="D862" s="1"/>
      <c r="E862" s="1"/>
    </row>
    <row r="863">
      <c r="A863" s="1"/>
      <c r="B863" s="1"/>
      <c r="C863" s="1"/>
      <c r="D863" s="1"/>
      <c r="E863" s="1"/>
    </row>
    <row r="864">
      <c r="A864" s="1"/>
      <c r="B864" s="1"/>
      <c r="C864" s="1"/>
      <c r="D864" s="1"/>
      <c r="E864" s="1"/>
    </row>
    <row r="865">
      <c r="A865" s="1"/>
      <c r="B865" s="1"/>
      <c r="C865" s="1"/>
      <c r="D865" s="1"/>
      <c r="E865" s="1"/>
    </row>
    <row r="866">
      <c r="A866" s="1"/>
      <c r="B866" s="1"/>
      <c r="C866" s="1"/>
      <c r="D866" s="1"/>
      <c r="E866" s="1"/>
    </row>
    <row r="867">
      <c r="A867" s="1"/>
      <c r="B867" s="1"/>
      <c r="C867" s="1"/>
      <c r="D867" s="1"/>
      <c r="E867" s="1"/>
    </row>
    <row r="868">
      <c r="A868" s="1"/>
      <c r="B868" s="1"/>
      <c r="C868" s="1"/>
      <c r="D868" s="1"/>
      <c r="E868" s="1"/>
    </row>
    <row r="869">
      <c r="A869" s="1"/>
      <c r="B869" s="1"/>
      <c r="C869" s="1"/>
      <c r="D869" s="1"/>
      <c r="E869" s="1"/>
    </row>
    <row r="870">
      <c r="A870" s="1"/>
      <c r="B870" s="1"/>
      <c r="C870" s="1"/>
      <c r="D870" s="1"/>
      <c r="E870" s="1"/>
    </row>
    <row r="871">
      <c r="A871" s="1"/>
      <c r="B871" s="1"/>
      <c r="C871" s="1"/>
      <c r="D871" s="1"/>
      <c r="E871" s="1"/>
    </row>
    <row r="872">
      <c r="A872" s="1"/>
      <c r="B872" s="1"/>
      <c r="C872" s="1"/>
      <c r="D872" s="1"/>
      <c r="E872" s="1"/>
    </row>
    <row r="873">
      <c r="A873" s="1"/>
      <c r="B873" s="1"/>
      <c r="C873" s="1"/>
      <c r="D873" s="1"/>
      <c r="E873" s="1"/>
    </row>
    <row r="874">
      <c r="A874" s="1"/>
      <c r="B874" s="1"/>
      <c r="C874" s="1"/>
      <c r="D874" s="1"/>
      <c r="E874" s="1"/>
    </row>
    <row r="875">
      <c r="A875" s="1"/>
      <c r="B875" s="1"/>
      <c r="C875" s="1"/>
      <c r="D875" s="1"/>
      <c r="E875" s="1"/>
    </row>
    <row r="876">
      <c r="A876" s="1"/>
      <c r="B876" s="1"/>
      <c r="C876" s="1"/>
      <c r="D876" s="1"/>
      <c r="E876" s="1"/>
    </row>
    <row r="877">
      <c r="A877" s="1"/>
      <c r="B877" s="1"/>
      <c r="C877" s="1"/>
      <c r="D877" s="1"/>
      <c r="E877" s="1"/>
    </row>
    <row r="878">
      <c r="A878" s="1"/>
      <c r="B878" s="1"/>
      <c r="C878" s="1"/>
      <c r="D878" s="1"/>
      <c r="E878" s="1"/>
    </row>
    <row r="879">
      <c r="A879" s="1"/>
      <c r="B879" s="1"/>
      <c r="C879" s="1"/>
      <c r="D879" s="1"/>
      <c r="E879" s="1"/>
    </row>
    <row r="880">
      <c r="A880" s="1"/>
      <c r="B880" s="1"/>
      <c r="C880" s="1"/>
      <c r="D880" s="1"/>
      <c r="E880" s="1"/>
    </row>
    <row r="881">
      <c r="A881" s="1"/>
      <c r="B881" s="1"/>
      <c r="C881" s="1"/>
      <c r="D881" s="1"/>
      <c r="E881" s="1"/>
    </row>
    <row r="882">
      <c r="A882" s="1"/>
      <c r="B882" s="1"/>
      <c r="C882" s="1"/>
      <c r="D882" s="1"/>
      <c r="E882" s="1"/>
    </row>
    <row r="883">
      <c r="A883" s="1"/>
      <c r="B883" s="1"/>
      <c r="C883" s="1"/>
      <c r="D883" s="1"/>
      <c r="E883" s="1"/>
    </row>
    <row r="884">
      <c r="A884" s="1"/>
      <c r="B884" s="1"/>
      <c r="C884" s="1"/>
      <c r="D884" s="1"/>
      <c r="E884" s="1"/>
    </row>
    <row r="885">
      <c r="A885" s="1"/>
      <c r="B885" s="1"/>
      <c r="C885" s="1"/>
      <c r="D885" s="1"/>
      <c r="E885" s="1"/>
    </row>
    <row r="886">
      <c r="A886" s="1"/>
      <c r="B886" s="1"/>
      <c r="C886" s="1"/>
      <c r="D886" s="1"/>
      <c r="E886" s="1"/>
    </row>
    <row r="887">
      <c r="A887" s="1"/>
      <c r="B887" s="1"/>
      <c r="C887" s="1"/>
      <c r="D887" s="1"/>
      <c r="E887" s="1"/>
    </row>
    <row r="888">
      <c r="A888" s="1"/>
      <c r="B888" s="1"/>
      <c r="C888" s="1"/>
      <c r="D888" s="1"/>
      <c r="E888" s="1"/>
    </row>
    <row r="889">
      <c r="A889" s="1"/>
      <c r="B889" s="1"/>
      <c r="C889" s="1"/>
      <c r="D889" s="1"/>
      <c r="E889" s="1"/>
    </row>
    <row r="890">
      <c r="A890" s="1"/>
      <c r="B890" s="1"/>
      <c r="C890" s="1"/>
      <c r="D890" s="1"/>
      <c r="E890" s="1"/>
    </row>
    <row r="891">
      <c r="A891" s="1"/>
      <c r="B891" s="1"/>
      <c r="C891" s="1"/>
      <c r="D891" s="1"/>
      <c r="E891" s="1"/>
    </row>
    <row r="892">
      <c r="A892" s="1"/>
      <c r="B892" s="1"/>
      <c r="C892" s="1"/>
      <c r="D892" s="1"/>
      <c r="E892" s="1"/>
    </row>
    <row r="893">
      <c r="A893" s="1"/>
      <c r="B893" s="1"/>
      <c r="C893" s="1"/>
      <c r="D893" s="1"/>
      <c r="E893" s="1"/>
    </row>
    <row r="894">
      <c r="A894" s="1"/>
      <c r="B894" s="1"/>
      <c r="C894" s="1"/>
      <c r="D894" s="1"/>
      <c r="E894" s="1"/>
    </row>
    <row r="895">
      <c r="A895" s="1"/>
      <c r="B895" s="1"/>
      <c r="C895" s="1"/>
      <c r="D895" s="1"/>
      <c r="E895" s="1"/>
    </row>
    <row r="896">
      <c r="A896" s="1"/>
      <c r="B896" s="1"/>
      <c r="C896" s="1"/>
      <c r="D896" s="1"/>
      <c r="E896" s="1"/>
    </row>
    <row r="897">
      <c r="A897" s="1"/>
      <c r="B897" s="1"/>
      <c r="C897" s="1"/>
      <c r="D897" s="1"/>
      <c r="E897" s="1"/>
    </row>
    <row r="898">
      <c r="A898" s="1"/>
      <c r="B898" s="1"/>
      <c r="C898" s="1"/>
      <c r="D898" s="1"/>
      <c r="E898" s="1"/>
    </row>
    <row r="899">
      <c r="A899" s="1"/>
      <c r="B899" s="1"/>
      <c r="C899" s="1"/>
      <c r="D899" s="1"/>
      <c r="E899" s="1"/>
    </row>
    <row r="900">
      <c r="A900" s="1"/>
      <c r="B900" s="1"/>
      <c r="C900" s="1"/>
      <c r="D900" s="1"/>
      <c r="E900" s="1"/>
    </row>
    <row r="901">
      <c r="A901" s="1"/>
      <c r="B901" s="1"/>
      <c r="C901" s="1"/>
      <c r="D901" s="1"/>
      <c r="E901" s="1"/>
    </row>
    <row r="902">
      <c r="A902" s="1"/>
      <c r="B902" s="1"/>
      <c r="C902" s="1"/>
      <c r="D902" s="1"/>
      <c r="E902" s="1"/>
    </row>
    <row r="903">
      <c r="A903" s="1"/>
      <c r="B903" s="1"/>
      <c r="C903" s="1"/>
      <c r="D903" s="1"/>
      <c r="E903" s="1"/>
    </row>
    <row r="904">
      <c r="A904" s="1"/>
      <c r="B904" s="1"/>
      <c r="C904" s="1"/>
      <c r="D904" s="1"/>
      <c r="E904" s="1"/>
    </row>
    <row r="905">
      <c r="A905" s="1"/>
      <c r="B905" s="1"/>
      <c r="C905" s="1"/>
      <c r="D905" s="1"/>
      <c r="E905" s="1"/>
    </row>
    <row r="906">
      <c r="A906" s="1"/>
      <c r="B906" s="1"/>
      <c r="C906" s="1"/>
      <c r="D906" s="1"/>
      <c r="E906" s="1"/>
    </row>
    <row r="907">
      <c r="A907" s="1"/>
      <c r="B907" s="1"/>
      <c r="C907" s="1"/>
      <c r="D907" s="1"/>
      <c r="E907" s="1"/>
    </row>
    <row r="908">
      <c r="A908" s="1"/>
      <c r="B908" s="1"/>
      <c r="C908" s="1"/>
      <c r="D908" s="1"/>
      <c r="E908" s="1"/>
    </row>
    <row r="909">
      <c r="A909" s="1"/>
      <c r="B909" s="1"/>
      <c r="C909" s="1"/>
      <c r="D909" s="1"/>
      <c r="E909" s="1"/>
    </row>
    <row r="910">
      <c r="A910" s="1"/>
      <c r="B910" s="1"/>
      <c r="C910" s="1"/>
      <c r="D910" s="1"/>
      <c r="E910" s="1"/>
    </row>
    <row r="911">
      <c r="A911" s="1"/>
      <c r="B911" s="1"/>
      <c r="C911" s="1"/>
      <c r="D911" s="1"/>
      <c r="E911" s="1"/>
    </row>
    <row r="912">
      <c r="A912" s="1"/>
      <c r="B912" s="1"/>
      <c r="C912" s="1"/>
      <c r="D912" s="1"/>
      <c r="E912" s="1"/>
    </row>
    <row r="913">
      <c r="A913" s="1"/>
      <c r="B913" s="1"/>
      <c r="C913" s="1"/>
      <c r="D913" s="1"/>
      <c r="E913" s="1"/>
    </row>
    <row r="914">
      <c r="A914" s="1"/>
      <c r="B914" s="1"/>
      <c r="C914" s="1"/>
      <c r="D914" s="1"/>
      <c r="E914" s="1"/>
    </row>
    <row r="915">
      <c r="A915" s="1"/>
      <c r="B915" s="1"/>
      <c r="C915" s="1"/>
      <c r="D915" s="1"/>
      <c r="E915" s="1"/>
    </row>
    <row r="916">
      <c r="A916" s="1"/>
      <c r="B916" s="1"/>
      <c r="C916" s="1"/>
      <c r="D916" s="1"/>
      <c r="E916" s="1"/>
    </row>
    <row r="917">
      <c r="A917" s="1"/>
      <c r="B917" s="1"/>
      <c r="C917" s="1"/>
      <c r="D917" s="1"/>
      <c r="E917" s="1"/>
    </row>
    <row r="918">
      <c r="A918" s="1"/>
      <c r="B918" s="1"/>
      <c r="C918" s="1"/>
      <c r="D918" s="1"/>
      <c r="E918" s="1"/>
    </row>
    <row r="919">
      <c r="A919" s="1"/>
      <c r="B919" s="1"/>
      <c r="C919" s="1"/>
      <c r="D919" s="1"/>
      <c r="E919" s="1"/>
    </row>
    <row r="920">
      <c r="A920" s="1"/>
      <c r="B920" s="1"/>
      <c r="C920" s="1"/>
      <c r="D920" s="1"/>
      <c r="E920" s="1"/>
    </row>
    <row r="921">
      <c r="A921" s="1"/>
      <c r="B921" s="1"/>
      <c r="C921" s="1"/>
      <c r="D921" s="1"/>
      <c r="E921" s="1"/>
    </row>
    <row r="922">
      <c r="A922" s="1"/>
      <c r="B922" s="1"/>
      <c r="C922" s="1"/>
      <c r="D922" s="1"/>
      <c r="E922" s="1"/>
    </row>
    <row r="923">
      <c r="A923" s="1"/>
      <c r="B923" s="1"/>
      <c r="C923" s="1"/>
      <c r="D923" s="1"/>
      <c r="E923" s="1"/>
    </row>
    <row r="924">
      <c r="A924" s="1"/>
      <c r="B924" s="1"/>
      <c r="C924" s="1"/>
      <c r="D924" s="1"/>
      <c r="E924" s="1"/>
    </row>
    <row r="925">
      <c r="A925" s="1"/>
      <c r="B925" s="1"/>
      <c r="C925" s="1"/>
      <c r="D925" s="1"/>
      <c r="E925" s="1"/>
    </row>
    <row r="926">
      <c r="A926" s="1"/>
      <c r="B926" s="1"/>
      <c r="C926" s="1"/>
      <c r="D926" s="1"/>
      <c r="E926" s="1"/>
    </row>
    <row r="927">
      <c r="A927" s="1"/>
      <c r="B927" s="1"/>
      <c r="C927" s="1"/>
      <c r="D927" s="1"/>
      <c r="E927" s="1"/>
    </row>
    <row r="928">
      <c r="A928" s="1"/>
      <c r="B928" s="1"/>
      <c r="C928" s="1"/>
      <c r="D928" s="1"/>
      <c r="E928" s="1"/>
    </row>
    <row r="929">
      <c r="A929" s="1"/>
      <c r="B929" s="1"/>
      <c r="C929" s="1"/>
      <c r="D929" s="1"/>
      <c r="E929" s="1"/>
    </row>
    <row r="930">
      <c r="A930" s="1"/>
      <c r="B930" s="1"/>
      <c r="C930" s="1"/>
      <c r="D930" s="1"/>
      <c r="E930" s="1"/>
    </row>
    <row r="931">
      <c r="A931" s="1"/>
      <c r="B931" s="1"/>
      <c r="C931" s="1"/>
      <c r="D931" s="1"/>
      <c r="E931" s="1"/>
    </row>
    <row r="932">
      <c r="A932" s="1"/>
      <c r="B932" s="1"/>
      <c r="C932" s="1"/>
      <c r="D932" s="1"/>
      <c r="E932" s="1"/>
    </row>
    <row r="933">
      <c r="A933" s="1"/>
      <c r="B933" s="1"/>
      <c r="C933" s="1"/>
      <c r="D933" s="1"/>
      <c r="E933" s="1"/>
    </row>
    <row r="934">
      <c r="A934" s="1"/>
      <c r="B934" s="1"/>
      <c r="C934" s="1"/>
      <c r="D934" s="1"/>
      <c r="E934" s="1"/>
    </row>
    <row r="935">
      <c r="A935" s="1"/>
      <c r="B935" s="1"/>
      <c r="C935" s="1"/>
      <c r="D935" s="1"/>
      <c r="E935" s="1"/>
    </row>
    <row r="936">
      <c r="A936" s="1"/>
      <c r="B936" s="1"/>
      <c r="C936" s="1"/>
      <c r="D936" s="1"/>
      <c r="E936" s="1"/>
    </row>
    <row r="937">
      <c r="A937" s="1"/>
      <c r="B937" s="1"/>
      <c r="C937" s="1"/>
      <c r="D937" s="1"/>
      <c r="E937" s="1"/>
    </row>
    <row r="938">
      <c r="A938" s="1"/>
      <c r="B938" s="1"/>
      <c r="C938" s="1"/>
      <c r="D938" s="1"/>
      <c r="E938" s="1"/>
    </row>
    <row r="939">
      <c r="A939" s="1"/>
      <c r="B939" s="1"/>
      <c r="C939" s="1"/>
      <c r="D939" s="1"/>
      <c r="E939" s="1"/>
    </row>
    <row r="940">
      <c r="A940" s="1"/>
      <c r="B940" s="1"/>
      <c r="C940" s="1"/>
      <c r="D940" s="1"/>
      <c r="E940" s="1"/>
    </row>
    <row r="941">
      <c r="A941" s="1"/>
      <c r="B941" s="1"/>
      <c r="C941" s="1"/>
      <c r="D941" s="1"/>
      <c r="E941" s="1"/>
    </row>
    <row r="942">
      <c r="A942" s="1"/>
      <c r="B942" s="1"/>
      <c r="C942" s="1"/>
      <c r="D942" s="1"/>
      <c r="E942" s="1"/>
    </row>
    <row r="943">
      <c r="A943" s="1"/>
      <c r="B943" s="1"/>
      <c r="C943" s="1"/>
      <c r="D943" s="1"/>
      <c r="E943" s="1"/>
    </row>
    <row r="944">
      <c r="A944" s="1"/>
      <c r="B944" s="1"/>
      <c r="C944" s="1"/>
      <c r="D944" s="1"/>
      <c r="E944" s="1"/>
    </row>
    <row r="945">
      <c r="A945" s="1"/>
      <c r="B945" s="1"/>
      <c r="C945" s="1"/>
      <c r="D945" s="1"/>
      <c r="E945" s="1"/>
    </row>
    <row r="946">
      <c r="A946" s="1"/>
      <c r="B946" s="1"/>
      <c r="C946" s="1"/>
      <c r="D946" s="1"/>
      <c r="E946" s="1"/>
    </row>
    <row r="947">
      <c r="A947" s="1"/>
      <c r="B947" s="1"/>
      <c r="C947" s="1"/>
      <c r="D947" s="1"/>
      <c r="E947" s="1"/>
    </row>
    <row r="948">
      <c r="A948" s="1"/>
      <c r="B948" s="1"/>
      <c r="C948" s="1"/>
      <c r="D948" s="1"/>
      <c r="E948" s="1"/>
    </row>
    <row r="949">
      <c r="A949" s="1"/>
      <c r="B949" s="1"/>
      <c r="C949" s="1"/>
      <c r="D949" s="1"/>
      <c r="E949" s="1"/>
    </row>
    <row r="950">
      <c r="A950" s="1"/>
      <c r="B950" s="1"/>
      <c r="C950" s="1"/>
      <c r="D950" s="1"/>
      <c r="E950" s="1"/>
    </row>
    <row r="951">
      <c r="A951" s="1"/>
      <c r="B951" s="1"/>
      <c r="C951" s="1"/>
      <c r="D951" s="1"/>
      <c r="E951" s="1"/>
    </row>
    <row r="952">
      <c r="A952" s="1"/>
      <c r="B952" s="1"/>
      <c r="C952" s="1"/>
      <c r="D952" s="1"/>
      <c r="E952" s="1"/>
    </row>
    <row r="953">
      <c r="A953" s="1"/>
      <c r="B953" s="1"/>
      <c r="C953" s="1"/>
      <c r="D953" s="1"/>
      <c r="E953" s="1"/>
    </row>
    <row r="954">
      <c r="A954" s="1"/>
      <c r="B954" s="1"/>
      <c r="C954" s="1"/>
      <c r="D954" s="1"/>
      <c r="E954" s="1"/>
    </row>
    <row r="955">
      <c r="A955" s="1"/>
      <c r="B955" s="1"/>
      <c r="C955" s="1"/>
      <c r="D955" s="1"/>
      <c r="E955" s="1"/>
    </row>
    <row r="956">
      <c r="A956" s="1"/>
      <c r="B956" s="1"/>
      <c r="C956" s="1"/>
      <c r="D956" s="1"/>
      <c r="E956" s="1"/>
    </row>
    <row r="957">
      <c r="A957" s="1"/>
      <c r="B957" s="1"/>
      <c r="C957" s="1"/>
      <c r="D957" s="1"/>
      <c r="E957" s="1"/>
    </row>
    <row r="958">
      <c r="A958" s="1"/>
      <c r="B958" s="1"/>
      <c r="C958" s="1"/>
      <c r="D958" s="1"/>
      <c r="E958" s="1"/>
    </row>
    <row r="959">
      <c r="A959" s="1"/>
      <c r="B959" s="1"/>
      <c r="C959" s="1"/>
      <c r="D959" s="1"/>
      <c r="E959" s="1"/>
    </row>
    <row r="960">
      <c r="A960" s="1"/>
      <c r="B960" s="1"/>
      <c r="C960" s="1"/>
      <c r="D960" s="1"/>
      <c r="E960" s="1"/>
    </row>
    <row r="961">
      <c r="A961" s="1"/>
      <c r="B961" s="1"/>
      <c r="C961" s="1"/>
      <c r="D961" s="1"/>
      <c r="E961" s="1"/>
    </row>
    <row r="962">
      <c r="A962" s="1"/>
      <c r="B962" s="1"/>
      <c r="C962" s="1"/>
      <c r="D962" s="1"/>
      <c r="E962" s="1"/>
    </row>
    <row r="963">
      <c r="A963" s="1"/>
      <c r="B963" s="1"/>
      <c r="C963" s="1"/>
      <c r="D963" s="1"/>
      <c r="E963" s="1"/>
    </row>
    <row r="964">
      <c r="A964" s="1"/>
      <c r="B964" s="1"/>
      <c r="C964" s="1"/>
      <c r="D964" s="1"/>
      <c r="E964" s="1"/>
    </row>
    <row r="965">
      <c r="A965" s="1"/>
      <c r="B965" s="1"/>
      <c r="C965" s="1"/>
      <c r="D965" s="1"/>
      <c r="E965" s="1"/>
    </row>
    <row r="966">
      <c r="A966" s="1"/>
      <c r="B966" s="1"/>
      <c r="C966" s="1"/>
      <c r="D966" s="1"/>
      <c r="E966" s="1"/>
    </row>
    <row r="967">
      <c r="A967" s="1"/>
      <c r="B967" s="1"/>
      <c r="C967" s="1"/>
      <c r="D967" s="1"/>
      <c r="E967" s="1"/>
    </row>
    <row r="968">
      <c r="A968" s="1"/>
      <c r="B968" s="1"/>
      <c r="C968" s="1"/>
      <c r="D968" s="1"/>
      <c r="E968" s="1"/>
    </row>
    <row r="969">
      <c r="A969" s="1"/>
      <c r="B969" s="1"/>
      <c r="C969" s="1"/>
      <c r="D969" s="1"/>
      <c r="E969" s="1"/>
    </row>
    <row r="970">
      <c r="A970" s="1"/>
      <c r="B970" s="1"/>
      <c r="C970" s="1"/>
      <c r="D970" s="1"/>
      <c r="E970" s="1"/>
    </row>
    <row r="971">
      <c r="A971" s="1"/>
      <c r="B971" s="1"/>
      <c r="C971" s="1"/>
      <c r="D971" s="1"/>
      <c r="E971" s="1"/>
    </row>
    <row r="972">
      <c r="A972" s="1"/>
      <c r="B972" s="1"/>
      <c r="C972" s="1"/>
      <c r="D972" s="1"/>
      <c r="E972" s="1"/>
    </row>
    <row r="973">
      <c r="A973" s="1"/>
      <c r="B973" s="1"/>
      <c r="C973" s="1"/>
      <c r="D973" s="1"/>
      <c r="E973" s="1"/>
    </row>
    <row r="974">
      <c r="A974" s="1"/>
      <c r="B974" s="1"/>
      <c r="C974" s="1"/>
      <c r="D974" s="1"/>
      <c r="E974" s="1"/>
    </row>
    <row r="975">
      <c r="A975" s="1"/>
      <c r="B975" s="1"/>
      <c r="C975" s="1"/>
      <c r="D975" s="1"/>
      <c r="E975" s="1"/>
    </row>
    <row r="976">
      <c r="A976" s="1"/>
      <c r="B976" s="1"/>
      <c r="C976" s="1"/>
      <c r="D976" s="1"/>
      <c r="E976" s="1"/>
    </row>
    <row r="977">
      <c r="A977" s="1"/>
      <c r="B977" s="1"/>
      <c r="C977" s="1"/>
      <c r="D977" s="1"/>
      <c r="E977" s="1"/>
    </row>
    <row r="978">
      <c r="A978" s="1"/>
      <c r="B978" s="1"/>
      <c r="C978" s="1"/>
      <c r="D978" s="1"/>
      <c r="E978" s="1"/>
    </row>
    <row r="979">
      <c r="A979" s="1"/>
      <c r="B979" s="1"/>
      <c r="C979" s="1"/>
      <c r="D979" s="1"/>
      <c r="E979" s="1"/>
    </row>
    <row r="980">
      <c r="A980" s="1"/>
      <c r="B980" s="1"/>
      <c r="C980" s="1"/>
      <c r="D980" s="1"/>
      <c r="E980" s="1"/>
    </row>
    <row r="981">
      <c r="A981" s="1"/>
      <c r="B981" s="1"/>
      <c r="C981" s="1"/>
      <c r="D981" s="1"/>
      <c r="E981" s="1"/>
    </row>
    <row r="982">
      <c r="A982" s="1"/>
      <c r="B982" s="1"/>
      <c r="C982" s="1"/>
      <c r="D982" s="1"/>
      <c r="E982" s="1"/>
    </row>
    <row r="983">
      <c r="A983" s="1"/>
      <c r="B983" s="1"/>
      <c r="C983" s="1"/>
      <c r="D983" s="1"/>
      <c r="E983" s="1"/>
    </row>
    <row r="984">
      <c r="A984" s="1"/>
      <c r="B984" s="1"/>
      <c r="C984" s="1"/>
      <c r="D984" s="1"/>
      <c r="E984" s="1"/>
    </row>
    <row r="985">
      <c r="A985" s="1"/>
      <c r="B985" s="1"/>
      <c r="C985" s="1"/>
      <c r="D985" s="1"/>
      <c r="E985" s="1"/>
    </row>
    <row r="986">
      <c r="A986" s="1"/>
      <c r="B986" s="1"/>
      <c r="C986" s="1"/>
      <c r="D986" s="1"/>
      <c r="E986" s="1"/>
    </row>
    <row r="987">
      <c r="A987" s="1"/>
      <c r="B987" s="1"/>
      <c r="C987" s="1"/>
      <c r="D987" s="1"/>
      <c r="E987" s="1"/>
    </row>
  </sheetData>
  <drawing r:id="rId1"/>
</worksheet>
</file>